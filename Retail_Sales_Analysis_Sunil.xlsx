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unil\Documents\Codex\2026-05-09\i-am-getting-my-training-on\excel-sales-dashboard-portfolio\data\"/>
    </mc:Choice>
  </mc:AlternateContent>
  <xr:revisionPtr revIDLastSave="0" documentId="8_{0A0DE6B6-FA55-41DE-A3F5-AD566347E8E4}" xr6:coauthVersionLast="47" xr6:coauthVersionMax="47" xr10:uidLastSave="{00000000-0000-0000-0000-000000000000}"/>
  <bookViews>
    <workbookView xWindow="-120" yWindow="-120" windowWidth="29040" windowHeight="15720" firstSheet="1" activeTab="2" xr2:uid="{BFCD35E8-5244-4A17-884A-4617F0A8CF65}"/>
  </bookViews>
  <sheets>
    <sheet name="Raw_Data" sheetId="1" r:id="rId1"/>
    <sheet name="Pivot_Analysis" sheetId="2" r:id="rId2"/>
    <sheet name="Dashboard" sheetId="3" r:id="rId3"/>
    <sheet name="Insights" sheetId="4" r:id="rId4"/>
  </sheets>
  <definedNames>
    <definedName name="Slicer_Category">#N/A</definedName>
    <definedName name="Slicer_Payment_Mode">#N/A</definedName>
    <definedName name="Slicer_Region">#N/A</definedName>
    <definedName name="Slicer_Segment">#N/A</definedName>
  </definedNames>
  <calcPr calcId="0"/>
  <pivotCaches>
    <pivotCache cacheId="2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6" i="2" l="1"/>
  <c r="H26" i="2"/>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I5" i="3"/>
  <c r="E5" i="3"/>
  <c r="A5" i="3"/>
  <c r="M5" i="3" l="1"/>
  <c r="Q5" i="3"/>
</calcChain>
</file>

<file path=xl/sharedStrings.xml><?xml version="1.0" encoding="utf-8"?>
<sst xmlns="http://schemas.openxmlformats.org/spreadsheetml/2006/main" count="357" uniqueCount="159">
  <si>
    <t>Order_ID</t>
  </si>
  <si>
    <t>Order_Date</t>
  </si>
  <si>
    <t>Customer_Name</t>
  </si>
  <si>
    <t>Segment</t>
  </si>
  <si>
    <t>Region</t>
  </si>
  <si>
    <t>Category</t>
  </si>
  <si>
    <t>Product</t>
  </si>
  <si>
    <t>Quantity</t>
  </si>
  <si>
    <t>Unit_Price</t>
  </si>
  <si>
    <t>Sales</t>
  </si>
  <si>
    <t>Cost</t>
  </si>
  <si>
    <t>Profit</t>
  </si>
  <si>
    <t>Payment_Mode</t>
  </si>
  <si>
    <t>ORD-1001</t>
  </si>
  <si>
    <t>Aarav Sharma</t>
  </si>
  <si>
    <t>Consumer</t>
  </si>
  <si>
    <t>South</t>
  </si>
  <si>
    <t>Technology</t>
  </si>
  <si>
    <t>Wireless Mouse</t>
  </si>
  <si>
    <t>UPI</t>
  </si>
  <si>
    <t>ORD-1002</t>
  </si>
  <si>
    <t>Neha Rao</t>
  </si>
  <si>
    <t>Corporate</t>
  </si>
  <si>
    <t>West</t>
  </si>
  <si>
    <t>Furniture</t>
  </si>
  <si>
    <t>Office Chair</t>
  </si>
  <si>
    <t>Credit Card</t>
  </si>
  <si>
    <t>ORD-1003</t>
  </si>
  <si>
    <t>Rahul Mehta</t>
  </si>
  <si>
    <t>North</t>
  </si>
  <si>
    <t>Office Supplies</t>
  </si>
  <si>
    <t>Notebook Pack</t>
  </si>
  <si>
    <t>Cash</t>
  </si>
  <si>
    <t>ORD-1004</t>
  </si>
  <si>
    <t>Priya Nair</t>
  </si>
  <si>
    <t>Home Office</t>
  </si>
  <si>
    <t>Keyboard</t>
  </si>
  <si>
    <t>Debit Card</t>
  </si>
  <si>
    <t>ORD-1005</t>
  </si>
  <si>
    <t>Vikram Singh</t>
  </si>
  <si>
    <t>East</t>
  </si>
  <si>
    <t>Study Desk</t>
  </si>
  <si>
    <t>ORD-1006</t>
  </si>
  <si>
    <t>Ananya Das</t>
  </si>
  <si>
    <t>Pens Set</t>
  </si>
  <si>
    <t>ORD-1007</t>
  </si>
  <si>
    <t>Kiran Kumar</t>
  </si>
  <si>
    <t>Monitor</t>
  </si>
  <si>
    <t>ORD-1008</t>
  </si>
  <si>
    <t>Sneha Iyer</t>
  </si>
  <si>
    <t>Bookshelf</t>
  </si>
  <si>
    <t>ORD-1009</t>
  </si>
  <si>
    <t>Manish Gupta</t>
  </si>
  <si>
    <t>USB Hub</t>
  </si>
  <si>
    <t>ORD-1010</t>
  </si>
  <si>
    <t>Divya Menon</t>
  </si>
  <si>
    <t>Printer Paper</t>
  </si>
  <si>
    <t>ORD-1011</t>
  </si>
  <si>
    <t>Suresh Reddy</t>
  </si>
  <si>
    <t>ORD-1012</t>
  </si>
  <si>
    <t>Kavya Jain</t>
  </si>
  <si>
    <t>Laptop Stand</t>
  </si>
  <si>
    <t>ORD-1013</t>
  </si>
  <si>
    <t>Rohan Pillai</t>
  </si>
  <si>
    <t>Desk Organizer</t>
  </si>
  <si>
    <t>ORD-1014</t>
  </si>
  <si>
    <t>Meera Joshi</t>
  </si>
  <si>
    <t>Webcam</t>
  </si>
  <si>
    <t>ORD-1015</t>
  </si>
  <si>
    <t>Nikhil Verma</t>
  </si>
  <si>
    <t>Conference Table</t>
  </si>
  <si>
    <t>Bank Transfer</t>
  </si>
  <si>
    <t>ORD-1016</t>
  </si>
  <si>
    <t>Asha Thomas</t>
  </si>
  <si>
    <t>Stapler</t>
  </si>
  <si>
    <t>ORD-1017</t>
  </si>
  <si>
    <t>Ramesh Patil</t>
  </si>
  <si>
    <t>Headset</t>
  </si>
  <si>
    <t>ORD-1018</t>
  </si>
  <si>
    <t>Isha Kapoor</t>
  </si>
  <si>
    <t>Ergonomic Chair</t>
  </si>
  <si>
    <t>ORD-1019</t>
  </si>
  <si>
    <t>Farhan Ali</t>
  </si>
  <si>
    <t>External Hard Drive</t>
  </si>
  <si>
    <t>ORD-1020</t>
  </si>
  <si>
    <t>Tanya Bose</t>
  </si>
  <si>
    <t>Whiteboard Marker</t>
  </si>
  <si>
    <t>ORD-1021</t>
  </si>
  <si>
    <t>Arjun Rao</t>
  </si>
  <si>
    <t>ORD-1022</t>
  </si>
  <si>
    <t>Nisha Shetty</t>
  </si>
  <si>
    <t>Filing Cabinet</t>
  </si>
  <si>
    <t>ORD-1023</t>
  </si>
  <si>
    <t>Dev Malhotra</t>
  </si>
  <si>
    <t>ORD-1024</t>
  </si>
  <si>
    <t>Pooja Hegde</t>
  </si>
  <si>
    <t>ORD-1025</t>
  </si>
  <si>
    <t>Sameer Khan</t>
  </si>
  <si>
    <t>ORD-1026</t>
  </si>
  <si>
    <t>Leena Roy</t>
  </si>
  <si>
    <t>ORD-1027</t>
  </si>
  <si>
    <t>Harish Gowda</t>
  </si>
  <si>
    <t>ORD-1028</t>
  </si>
  <si>
    <t>Swati Kulkarni</t>
  </si>
  <si>
    <t>ORD-1029</t>
  </si>
  <si>
    <t>Yash Agarwal</t>
  </si>
  <si>
    <t>ORD-1030</t>
  </si>
  <si>
    <t>Rekha Sinha</t>
  </si>
  <si>
    <t>ORD-1031</t>
  </si>
  <si>
    <t>Aditya Nair</t>
  </si>
  <si>
    <t>ORD-1032</t>
  </si>
  <si>
    <t>Maya Krishnan</t>
  </si>
  <si>
    <t>ORD-1033</t>
  </si>
  <si>
    <t>Bharat Rao</t>
  </si>
  <si>
    <t>ORD-1034</t>
  </si>
  <si>
    <t>Anjali Shah</t>
  </si>
  <si>
    <t>ORD-1035</t>
  </si>
  <si>
    <t>Karthik Menon</t>
  </si>
  <si>
    <t>ORD-1036</t>
  </si>
  <si>
    <t>Simran Kaur</t>
  </si>
  <si>
    <t>ORD-1037</t>
  </si>
  <si>
    <t>Pranav Bhat</t>
  </si>
  <si>
    <t>ORD-1038</t>
  </si>
  <si>
    <t>Geeta Murthy</t>
  </si>
  <si>
    <t>ORD-1039</t>
  </si>
  <si>
    <t>Sanjay Mishra</t>
  </si>
  <si>
    <t>ORD-1040</t>
  </si>
  <si>
    <t>Ritika Sen</t>
  </si>
  <si>
    <t>Month</t>
  </si>
  <si>
    <t>Profit_Margin</t>
  </si>
  <si>
    <t>Total Sales</t>
  </si>
  <si>
    <t>Total Profit</t>
  </si>
  <si>
    <t>Grand Total</t>
  </si>
  <si>
    <t>1. Regional Performance: South is the leading region, generating total sales of 1,01,493 and total profit of 26,843. Although South contributes the highest overall revenue and profit, East records the strongest approximate profit margin at 30.72%, indicating potentially efficient product or customer performance in that region.</t>
  </si>
  <si>
    <t>2. Category Performance: Furniture generated the highest sales at 1,14,100, while Technology produced the highest profit at 31,203. Office Supplies had the lowest sales contribution but achieved the highest approximate profit margin at 39.15%. This indicates that the business can continue prioritizing Technology for profitability while exploring opportunities to increase sales of higher-margin Office Supplies products.</t>
  </si>
  <si>
    <t>Customer Segment</t>
  </si>
  <si>
    <t>3. Customer Segment Performance: Corporate customers are the strongest segment, generating total sales of 1,52,194 and total profit of 40,009. Although Home Office contributed the lowest total sales, it achieved the highest approximate profit margin at 33.02%. This suggests that the business should retain and strengthen Corporate customer relationships while exploring targeted offers to grow the profitable Home Office segment.</t>
  </si>
  <si>
    <t>Month_Start</t>
  </si>
  <si>
    <t>Jan</t>
  </si>
  <si>
    <t>Feb</t>
  </si>
  <si>
    <t>Mar</t>
  </si>
  <si>
    <t>Apr</t>
  </si>
  <si>
    <t>May</t>
  </si>
  <si>
    <t>Jun</t>
  </si>
  <si>
    <t>Jul</t>
  </si>
  <si>
    <t>Aug</t>
  </si>
  <si>
    <t>4. Monthly Sales Trend: Sales increased from 23,397 in January to a peak of 35,344 in March, before dropping in April and remaining relatively stable from May to August. July generated the highest profit at 10,116 despite not recording the highest sales, suggesting a more profitable product or customer mix during that month. Management should review the drivers of March sales volume and July profitability to support future planning.</t>
  </si>
  <si>
    <t>Number of orders</t>
  </si>
  <si>
    <t>Total profit</t>
  </si>
  <si>
    <t>Payment Mode</t>
  </si>
  <si>
    <t>5. Payment Mode Analysis: UPI was the most frequently used payment method with 13 orders, while Credit Card generated the highest sales value at 81,300. Bank Transfer accounted for only 4 orders but contributed 61,800 in sales, indicating that it was used for larger-value purchases. The business should continue supporting convenient digital payment methods while ensuring a smooth payment experience for high-value transactions.</t>
  </si>
  <si>
    <t>Total Orders</t>
  </si>
  <si>
    <t>Average Order Value</t>
  </si>
  <si>
    <t>Overall Profit Margin</t>
  </si>
  <si>
    <t>Executive Summary: The retail business generated total sales of 2,40,733 across 40 orders, with a total profit of 68,008. The average order value was 6,018.33, and the business achieved an overall profit margin of 28.25%.</t>
  </si>
  <si>
    <t>Retail Sales Performance Dashboard</t>
  </si>
  <si>
    <t>Profit Margin</t>
  </si>
  <si>
    <t>Retail business overview | January to August 2025</t>
  </si>
  <si>
    <t>Dashboard Interactivity: Interactive slicers were added for Region, Category, Customer Segment, and Payment Mode. These filters allow users to explore sales, profit, order value, profitability, product performance, and customer behavior for selected business 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</si>
</sst>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20"/>
      <color theme="0"/>
      <name val="Calibri"/>
      <family val="2"/>
      <scheme val="minor"/>
    </font>
    <font>
      <sz val="16"/>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50"/>
        <bgColor indexed="64"/>
      </patternFill>
    </fill>
    <fill>
      <patternFill patternType="solid">
        <fgColor theme="1"/>
        <bgColor indexed="64"/>
      </patternFill>
    </fill>
    <fill>
      <patternFill patternType="solid">
        <fgColor theme="4"/>
        <bgColor indexed="64"/>
      </patternFill>
    </fill>
    <fill>
      <patternFill patternType="solid">
        <fgColor theme="2"/>
        <bgColor indexed="64"/>
      </patternFill>
    </fill>
    <fill>
      <patternFill patternType="solid">
        <fgColor theme="0" tint="-0.49998474074526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0" fontId="16" fillId="0" borderId="0" xfId="0" applyFont="1"/>
    <xf numFmtId="10" fontId="16" fillId="0" borderId="0" xfId="1" applyNumberFormat="1" applyFont="1"/>
    <xf numFmtId="10" fontId="0" fillId="0" borderId="0" xfId="1" applyNumberFormat="1" applyFont="1"/>
    <xf numFmtId="0" fontId="0" fillId="0" borderId="0" xfId="0" pivotButton="1"/>
    <xf numFmtId="0" fontId="0" fillId="0" borderId="0" xfId="0" applyNumberFormat="1"/>
    <xf numFmtId="3" fontId="0" fillId="0" borderId="0" xfId="0" applyNumberFormat="1"/>
    <xf numFmtId="0" fontId="0" fillId="0" borderId="0" xfId="0" applyAlignment="1">
      <alignment horizontal="left"/>
    </xf>
    <xf numFmtId="0" fontId="0" fillId="33" borderId="0" xfId="0" applyFill="1" applyAlignment="1">
      <alignment vertical="top" wrapText="1"/>
    </xf>
    <xf numFmtId="0" fontId="0" fillId="33" borderId="0" xfId="0" applyFill="1" applyAlignment="1">
      <alignment wrapText="1"/>
    </xf>
    <xf numFmtId="0" fontId="0" fillId="34" borderId="0" xfId="0" applyFill="1" applyAlignment="1">
      <alignment wrapText="1"/>
    </xf>
    <xf numFmtId="0" fontId="19" fillId="35" borderId="0" xfId="0" applyFont="1" applyFill="1" applyAlignment="1">
      <alignment horizontal="center"/>
    </xf>
    <xf numFmtId="3" fontId="20" fillId="37" borderId="13" xfId="0" applyNumberFormat="1" applyFont="1" applyFill="1" applyBorder="1" applyAlignment="1">
      <alignment horizontal="center"/>
    </xf>
    <xf numFmtId="0" fontId="20" fillId="37" borderId="0" xfId="0" applyFont="1" applyFill="1" applyBorder="1" applyAlignment="1">
      <alignment horizontal="center"/>
    </xf>
    <xf numFmtId="0" fontId="20" fillId="37" borderId="14" xfId="0" applyFont="1" applyFill="1" applyBorder="1" applyAlignment="1">
      <alignment horizontal="center"/>
    </xf>
    <xf numFmtId="0" fontId="20" fillId="37" borderId="15" xfId="0" applyFont="1" applyFill="1" applyBorder="1" applyAlignment="1">
      <alignment horizontal="center"/>
    </xf>
    <xf numFmtId="0" fontId="20" fillId="37" borderId="16" xfId="0" applyFont="1" applyFill="1" applyBorder="1" applyAlignment="1">
      <alignment horizontal="center"/>
    </xf>
    <xf numFmtId="0" fontId="20" fillId="37" borderId="17" xfId="0" applyFont="1" applyFill="1" applyBorder="1" applyAlignment="1">
      <alignment horizontal="center"/>
    </xf>
    <xf numFmtId="0" fontId="20" fillId="37" borderId="13" xfId="0" applyFont="1" applyFill="1" applyBorder="1" applyAlignment="1">
      <alignment horizontal="center"/>
    </xf>
    <xf numFmtId="4" fontId="20" fillId="37" borderId="13" xfId="0" applyNumberFormat="1" applyFont="1" applyFill="1" applyBorder="1" applyAlignment="1">
      <alignment horizontal="center"/>
    </xf>
    <xf numFmtId="0" fontId="18" fillId="36" borderId="10" xfId="0" applyFont="1" applyFill="1" applyBorder="1" applyAlignment="1">
      <alignment horizontal="center"/>
    </xf>
    <xf numFmtId="0" fontId="18" fillId="36" borderId="11" xfId="0" applyFont="1" applyFill="1" applyBorder="1" applyAlignment="1">
      <alignment horizontal="center"/>
    </xf>
    <xf numFmtId="0" fontId="18" fillId="36" borderId="12" xfId="0" applyFont="1" applyFill="1" applyBorder="1" applyAlignment="1">
      <alignment horizontal="center"/>
    </xf>
    <xf numFmtId="0" fontId="18" fillId="38" borderId="0" xfId="0" applyFont="1" applyFill="1" applyAlignment="1">
      <alignment horizontal="center"/>
    </xf>
    <xf numFmtId="10" fontId="20" fillId="37" borderId="13" xfId="0" applyNumberFormat="1"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5">
    <dxf>
      <numFmt numFmtId="19" formatCode="dd/mm/yyyy"/>
    </dxf>
    <dxf>
      <numFmt numFmtId="14" formatCode="0.00%"/>
    </dxf>
    <dxf>
      <numFmt numFmtId="0" formatCode="General"/>
    </dxf>
    <dxf>
      <font>
        <b/>
        <i val="0"/>
        <strike val="0"/>
        <condense val="0"/>
        <extend val="0"/>
        <outline val="0"/>
        <shadow val="0"/>
        <u val="none"/>
        <vertAlign val="baseline"/>
        <sz val="11"/>
        <color theme="1"/>
        <name val="Calibri"/>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[Retail_Sales_Analysis_Sunil.xlsx]Pivot_Analysis!PivotTable4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and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Pivot_Analysis!$F$12</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Pivot_Analysis!$E$13:$E$21</c:f>
              <c:strCache>
                <c:ptCount val="8"/>
                <c:pt idx="0">
                  <c:v>Jan</c:v>
                </c:pt>
                <c:pt idx="1">
                  <c:v>Feb</c:v>
                </c:pt>
                <c:pt idx="2">
                  <c:v>Mar</c:v>
                </c:pt>
                <c:pt idx="3">
                  <c:v>Apr</c:v>
                </c:pt>
                <c:pt idx="4">
                  <c:v>May</c:v>
                </c:pt>
                <c:pt idx="5">
                  <c:v>Jun</c:v>
                </c:pt>
                <c:pt idx="6">
                  <c:v>Jul</c:v>
                </c:pt>
                <c:pt idx="7">
                  <c:v>Aug</c:v>
                </c:pt>
              </c:strCache>
            </c:strRef>
          </c:cat>
          <c:val>
            <c:numRef>
              <c:f>Pivot_Analysis!$F$13:$F$21</c:f>
              <c:numCache>
                <c:formatCode>#,##0</c:formatCode>
                <c:ptCount val="8"/>
                <c:pt idx="0">
                  <c:v>23397</c:v>
                </c:pt>
                <c:pt idx="1">
                  <c:v>31500</c:v>
                </c:pt>
                <c:pt idx="2">
                  <c:v>35344</c:v>
                </c:pt>
                <c:pt idx="3">
                  <c:v>28220</c:v>
                </c:pt>
                <c:pt idx="4">
                  <c:v>29036</c:v>
                </c:pt>
                <c:pt idx="5">
                  <c:v>31300</c:v>
                </c:pt>
                <c:pt idx="6">
                  <c:v>30596</c:v>
                </c:pt>
                <c:pt idx="7">
                  <c:v>31340</c:v>
                </c:pt>
              </c:numCache>
            </c:numRef>
          </c:val>
          <c:smooth val="0"/>
          <c:extLst>
            <c:ext xmlns:c16="http://schemas.microsoft.com/office/drawing/2014/chart" uri="{C3380CC4-5D6E-409C-BE32-E72D297353CC}">
              <c16:uniqueId val="{00000000-507C-4D09-AB4C-FCDC3E82DABD}"/>
            </c:ext>
          </c:extLst>
        </c:ser>
        <c:ser>
          <c:idx val="1"/>
          <c:order val="1"/>
          <c:tx>
            <c:strRef>
              <c:f>Pivot_Analysis!$G$12</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Pivot_Analysis!$E$13:$E$21</c:f>
              <c:strCache>
                <c:ptCount val="8"/>
                <c:pt idx="0">
                  <c:v>Jan</c:v>
                </c:pt>
                <c:pt idx="1">
                  <c:v>Feb</c:v>
                </c:pt>
                <c:pt idx="2">
                  <c:v>Mar</c:v>
                </c:pt>
                <c:pt idx="3">
                  <c:v>Apr</c:v>
                </c:pt>
                <c:pt idx="4">
                  <c:v>May</c:v>
                </c:pt>
                <c:pt idx="5">
                  <c:v>Jun</c:v>
                </c:pt>
                <c:pt idx="6">
                  <c:v>Jul</c:v>
                </c:pt>
                <c:pt idx="7">
                  <c:v>Aug</c:v>
                </c:pt>
              </c:strCache>
            </c:strRef>
          </c:cat>
          <c:val>
            <c:numRef>
              <c:f>Pivot_Analysis!$G$13:$G$21</c:f>
              <c:numCache>
                <c:formatCode>#,##0</c:formatCode>
                <c:ptCount val="8"/>
                <c:pt idx="0">
                  <c:v>6497</c:v>
                </c:pt>
                <c:pt idx="1">
                  <c:v>8500</c:v>
                </c:pt>
                <c:pt idx="2">
                  <c:v>9594</c:v>
                </c:pt>
                <c:pt idx="3">
                  <c:v>8320</c:v>
                </c:pt>
                <c:pt idx="4">
                  <c:v>8206</c:v>
                </c:pt>
                <c:pt idx="5">
                  <c:v>7875</c:v>
                </c:pt>
                <c:pt idx="6">
                  <c:v>10116</c:v>
                </c:pt>
                <c:pt idx="7">
                  <c:v>8900</c:v>
                </c:pt>
              </c:numCache>
            </c:numRef>
          </c:val>
          <c:smooth val="0"/>
          <c:extLst>
            <c:ext xmlns:c16="http://schemas.microsoft.com/office/drawing/2014/chart" uri="{C3380CC4-5D6E-409C-BE32-E72D297353CC}">
              <c16:uniqueId val="{00000001-507C-4D09-AB4C-FCDC3E82DABD}"/>
            </c:ext>
          </c:extLst>
        </c:ser>
        <c:dLbls>
          <c:showLegendKey val="0"/>
          <c:showVal val="0"/>
          <c:showCatName val="0"/>
          <c:showSerName val="0"/>
          <c:showPercent val="0"/>
          <c:showBubbleSize val="0"/>
        </c:dLbls>
        <c:marker val="1"/>
        <c:smooth val="0"/>
        <c:axId val="1706030848"/>
        <c:axId val="1706035168"/>
      </c:lineChart>
      <c:catAx>
        <c:axId val="170603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35168"/>
        <c:crosses val="autoZero"/>
        <c:auto val="1"/>
        <c:lblAlgn val="ctr"/>
        <c:lblOffset val="100"/>
        <c:noMultiLvlLbl val="0"/>
      </c:catAx>
      <c:valAx>
        <c:axId val="1706035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3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[Retail_Sales_Analysis_Sunil.xlsx]Pivot_Analysis!PivotTable1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 Sales</c:v>
                </c:pt>
              </c:strCache>
            </c:strRef>
          </c:tx>
          <c:spPr>
            <a:solidFill>
              <a:schemeClr val="accent1"/>
            </a:solidFill>
            <a:ln>
              <a:noFill/>
            </a:ln>
            <a:effectLst/>
          </c:spPr>
          <c:invertIfNegative val="0"/>
          <c:cat>
            <c:strRef>
              <c:f>Pivot_Analysis!$A$4:$A$8</c:f>
              <c:strCache>
                <c:ptCount val="4"/>
                <c:pt idx="0">
                  <c:v>South</c:v>
                </c:pt>
                <c:pt idx="1">
                  <c:v>West</c:v>
                </c:pt>
                <c:pt idx="2">
                  <c:v>North</c:v>
                </c:pt>
                <c:pt idx="3">
                  <c:v>East</c:v>
                </c:pt>
              </c:strCache>
            </c:strRef>
          </c:cat>
          <c:val>
            <c:numRef>
              <c:f>Pivot_Analysis!$B$4:$B$8</c:f>
              <c:numCache>
                <c:formatCode>#,##0</c:formatCode>
                <c:ptCount val="4"/>
                <c:pt idx="0">
                  <c:v>101493</c:v>
                </c:pt>
                <c:pt idx="1">
                  <c:v>59546</c:v>
                </c:pt>
                <c:pt idx="2">
                  <c:v>47514</c:v>
                </c:pt>
                <c:pt idx="3">
                  <c:v>32180</c:v>
                </c:pt>
              </c:numCache>
            </c:numRef>
          </c:val>
          <c:extLst>
            <c:ext xmlns:c16="http://schemas.microsoft.com/office/drawing/2014/chart" uri="{C3380CC4-5D6E-409C-BE32-E72D297353CC}">
              <c16:uniqueId val="{00000000-35B2-41B3-9165-ECA1292460AF}"/>
            </c:ext>
          </c:extLst>
        </c:ser>
        <c:ser>
          <c:idx val="1"/>
          <c:order val="1"/>
          <c:tx>
            <c:strRef>
              <c:f>Pivot_Analysis!$C$3</c:f>
              <c:strCache>
                <c:ptCount val="1"/>
                <c:pt idx="0">
                  <c:v>Total Profit</c:v>
                </c:pt>
              </c:strCache>
            </c:strRef>
          </c:tx>
          <c:spPr>
            <a:solidFill>
              <a:schemeClr val="accent2"/>
            </a:solidFill>
            <a:ln>
              <a:noFill/>
            </a:ln>
            <a:effectLst/>
          </c:spPr>
          <c:invertIfNegative val="0"/>
          <c:cat>
            <c:strRef>
              <c:f>Pivot_Analysis!$A$4:$A$8</c:f>
              <c:strCache>
                <c:ptCount val="4"/>
                <c:pt idx="0">
                  <c:v>South</c:v>
                </c:pt>
                <c:pt idx="1">
                  <c:v>West</c:v>
                </c:pt>
                <c:pt idx="2">
                  <c:v>North</c:v>
                </c:pt>
                <c:pt idx="3">
                  <c:v>East</c:v>
                </c:pt>
              </c:strCache>
            </c:strRef>
          </c:cat>
          <c:val>
            <c:numRef>
              <c:f>Pivot_Analysis!$C$4:$C$8</c:f>
              <c:numCache>
                <c:formatCode>#,##0</c:formatCode>
                <c:ptCount val="4"/>
                <c:pt idx="0">
                  <c:v>26843</c:v>
                </c:pt>
                <c:pt idx="1">
                  <c:v>17966</c:v>
                </c:pt>
                <c:pt idx="2">
                  <c:v>13314</c:v>
                </c:pt>
                <c:pt idx="3">
                  <c:v>9885</c:v>
                </c:pt>
              </c:numCache>
            </c:numRef>
          </c:val>
          <c:extLst>
            <c:ext xmlns:c16="http://schemas.microsoft.com/office/drawing/2014/chart" uri="{C3380CC4-5D6E-409C-BE32-E72D297353CC}">
              <c16:uniqueId val="{00000001-35B2-41B3-9165-ECA1292460AF}"/>
            </c:ext>
          </c:extLst>
        </c:ser>
        <c:dLbls>
          <c:showLegendKey val="0"/>
          <c:showVal val="0"/>
          <c:showCatName val="0"/>
          <c:showSerName val="0"/>
          <c:showPercent val="0"/>
          <c:showBubbleSize val="0"/>
        </c:dLbls>
        <c:gapWidth val="219"/>
        <c:overlap val="-27"/>
        <c:axId val="1706055808"/>
        <c:axId val="1706063488"/>
      </c:barChart>
      <c:catAx>
        <c:axId val="170605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63488"/>
        <c:crosses val="autoZero"/>
        <c:auto val="1"/>
        <c:lblAlgn val="ctr"/>
        <c:lblOffset val="100"/>
        <c:noMultiLvlLbl val="0"/>
      </c:catAx>
      <c:valAx>
        <c:axId val="1706063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5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[Retail_Sales_Analysis_Sunil.xlsx]Pivot_Analysis!PivotTable2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Pivot_Analysis!$F$3</c:f>
              <c:strCache>
                <c:ptCount val="1"/>
                <c:pt idx="0">
                  <c:v>Total Sales</c:v>
                </c:pt>
              </c:strCache>
            </c:strRef>
          </c:tx>
          <c:spPr>
            <a:solidFill>
              <a:schemeClr val="accent1"/>
            </a:solidFill>
            <a:ln>
              <a:noFill/>
            </a:ln>
            <a:effectLst/>
          </c:spPr>
          <c:invertIfNegative val="0"/>
          <c:cat>
            <c:strRef>
              <c:f>Pivot_Analysis!$E$4:$E$7</c:f>
              <c:strCache>
                <c:ptCount val="3"/>
                <c:pt idx="0">
                  <c:v>Furniture</c:v>
                </c:pt>
                <c:pt idx="1">
                  <c:v>Office Supplies</c:v>
                </c:pt>
                <c:pt idx="2">
                  <c:v>Technology</c:v>
                </c:pt>
              </c:strCache>
            </c:strRef>
          </c:cat>
          <c:val>
            <c:numRef>
              <c:f>Pivot_Analysis!$F$4:$F$7</c:f>
              <c:numCache>
                <c:formatCode>#,##0</c:formatCode>
                <c:ptCount val="3"/>
                <c:pt idx="0">
                  <c:v>114100</c:v>
                </c:pt>
                <c:pt idx="1">
                  <c:v>20700</c:v>
                </c:pt>
                <c:pt idx="2">
                  <c:v>105933</c:v>
                </c:pt>
              </c:numCache>
            </c:numRef>
          </c:val>
          <c:extLst>
            <c:ext xmlns:c16="http://schemas.microsoft.com/office/drawing/2014/chart" uri="{C3380CC4-5D6E-409C-BE32-E72D297353CC}">
              <c16:uniqueId val="{00000000-675A-462D-B8EB-9DFEFAE0C7D3}"/>
            </c:ext>
          </c:extLst>
        </c:ser>
        <c:ser>
          <c:idx val="1"/>
          <c:order val="1"/>
          <c:tx>
            <c:strRef>
              <c:f>Pivot_Analysis!$G$3</c:f>
              <c:strCache>
                <c:ptCount val="1"/>
                <c:pt idx="0">
                  <c:v>Total Profit</c:v>
                </c:pt>
              </c:strCache>
            </c:strRef>
          </c:tx>
          <c:spPr>
            <a:solidFill>
              <a:schemeClr val="accent2"/>
            </a:solidFill>
            <a:ln>
              <a:noFill/>
            </a:ln>
            <a:effectLst/>
          </c:spPr>
          <c:invertIfNegative val="0"/>
          <c:cat>
            <c:strRef>
              <c:f>Pivot_Analysis!$E$4:$E$7</c:f>
              <c:strCache>
                <c:ptCount val="3"/>
                <c:pt idx="0">
                  <c:v>Furniture</c:v>
                </c:pt>
                <c:pt idx="1">
                  <c:v>Office Supplies</c:v>
                </c:pt>
                <c:pt idx="2">
                  <c:v>Technology</c:v>
                </c:pt>
              </c:strCache>
            </c:strRef>
          </c:cat>
          <c:val>
            <c:numRef>
              <c:f>Pivot_Analysis!$G$4:$G$7</c:f>
              <c:numCache>
                <c:formatCode>#,##0</c:formatCode>
                <c:ptCount val="3"/>
                <c:pt idx="0">
                  <c:v>28700</c:v>
                </c:pt>
                <c:pt idx="1">
                  <c:v>8105</c:v>
                </c:pt>
                <c:pt idx="2">
                  <c:v>31203</c:v>
                </c:pt>
              </c:numCache>
            </c:numRef>
          </c:val>
          <c:extLst>
            <c:ext xmlns:c16="http://schemas.microsoft.com/office/drawing/2014/chart" uri="{C3380CC4-5D6E-409C-BE32-E72D297353CC}">
              <c16:uniqueId val="{00000001-675A-462D-B8EB-9DFEFAE0C7D3}"/>
            </c:ext>
          </c:extLst>
        </c:ser>
        <c:dLbls>
          <c:showLegendKey val="0"/>
          <c:showVal val="0"/>
          <c:showCatName val="0"/>
          <c:showSerName val="0"/>
          <c:showPercent val="0"/>
          <c:showBubbleSize val="0"/>
        </c:dLbls>
        <c:gapWidth val="219"/>
        <c:overlap val="-27"/>
        <c:axId val="1706050528"/>
        <c:axId val="1706059648"/>
      </c:barChart>
      <c:catAx>
        <c:axId val="170605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59648"/>
        <c:crosses val="autoZero"/>
        <c:auto val="1"/>
        <c:lblAlgn val="ctr"/>
        <c:lblOffset val="100"/>
        <c:noMultiLvlLbl val="0"/>
      </c:catAx>
      <c:valAx>
        <c:axId val="1706059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5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[Retail_Sales_Analysis_Sunil.xlsx]Pivot_Analysis!PivotTable3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Pivot_Analysis!$B$12</c:f>
              <c:strCache>
                <c:ptCount val="1"/>
                <c:pt idx="0">
                  <c:v>Total Sales</c:v>
                </c:pt>
              </c:strCache>
            </c:strRef>
          </c:tx>
          <c:spPr>
            <a:solidFill>
              <a:schemeClr val="accent1"/>
            </a:solidFill>
            <a:ln>
              <a:noFill/>
            </a:ln>
            <a:effectLst/>
          </c:spPr>
          <c:invertIfNegative val="0"/>
          <c:cat>
            <c:strRef>
              <c:f>Pivot_Analysis!$A$13:$A$16</c:f>
              <c:strCache>
                <c:ptCount val="3"/>
                <c:pt idx="0">
                  <c:v>Consumer</c:v>
                </c:pt>
                <c:pt idx="1">
                  <c:v>Corporate</c:v>
                </c:pt>
                <c:pt idx="2">
                  <c:v>Home Office</c:v>
                </c:pt>
              </c:strCache>
            </c:strRef>
          </c:cat>
          <c:val>
            <c:numRef>
              <c:f>Pivot_Analysis!$B$13:$B$16</c:f>
              <c:numCache>
                <c:formatCode>#,##0</c:formatCode>
                <c:ptCount val="3"/>
                <c:pt idx="0">
                  <c:v>61559</c:v>
                </c:pt>
                <c:pt idx="1">
                  <c:v>152194</c:v>
                </c:pt>
                <c:pt idx="2">
                  <c:v>26980</c:v>
                </c:pt>
              </c:numCache>
            </c:numRef>
          </c:val>
          <c:extLst>
            <c:ext xmlns:c16="http://schemas.microsoft.com/office/drawing/2014/chart" uri="{C3380CC4-5D6E-409C-BE32-E72D297353CC}">
              <c16:uniqueId val="{00000000-0B45-4651-A0BB-E1E36D8F0D83}"/>
            </c:ext>
          </c:extLst>
        </c:ser>
        <c:ser>
          <c:idx val="1"/>
          <c:order val="1"/>
          <c:tx>
            <c:strRef>
              <c:f>Pivot_Analysis!$C$12</c:f>
              <c:strCache>
                <c:ptCount val="1"/>
                <c:pt idx="0">
                  <c:v>Total Profit</c:v>
                </c:pt>
              </c:strCache>
            </c:strRef>
          </c:tx>
          <c:spPr>
            <a:solidFill>
              <a:schemeClr val="accent2"/>
            </a:solidFill>
            <a:ln>
              <a:noFill/>
            </a:ln>
            <a:effectLst/>
          </c:spPr>
          <c:invertIfNegative val="0"/>
          <c:cat>
            <c:strRef>
              <c:f>Pivot_Analysis!$A$13:$A$16</c:f>
              <c:strCache>
                <c:ptCount val="3"/>
                <c:pt idx="0">
                  <c:v>Consumer</c:v>
                </c:pt>
                <c:pt idx="1">
                  <c:v>Corporate</c:v>
                </c:pt>
                <c:pt idx="2">
                  <c:v>Home Office</c:v>
                </c:pt>
              </c:strCache>
            </c:strRef>
          </c:cat>
          <c:val>
            <c:numRef>
              <c:f>Pivot_Analysis!$C$13:$C$16</c:f>
              <c:numCache>
                <c:formatCode>#,##0</c:formatCode>
                <c:ptCount val="3"/>
                <c:pt idx="0">
                  <c:v>19089</c:v>
                </c:pt>
                <c:pt idx="1">
                  <c:v>40009</c:v>
                </c:pt>
                <c:pt idx="2">
                  <c:v>8910</c:v>
                </c:pt>
              </c:numCache>
            </c:numRef>
          </c:val>
          <c:extLst>
            <c:ext xmlns:c16="http://schemas.microsoft.com/office/drawing/2014/chart" uri="{C3380CC4-5D6E-409C-BE32-E72D297353CC}">
              <c16:uniqueId val="{00000001-0B45-4651-A0BB-E1E36D8F0D83}"/>
            </c:ext>
          </c:extLst>
        </c:ser>
        <c:dLbls>
          <c:showLegendKey val="0"/>
          <c:showVal val="0"/>
          <c:showCatName val="0"/>
          <c:showSerName val="0"/>
          <c:showPercent val="0"/>
          <c:showBubbleSize val="0"/>
        </c:dLbls>
        <c:gapWidth val="182"/>
        <c:axId val="1706057728"/>
        <c:axId val="1706067328"/>
      </c:barChart>
      <c:catAx>
        <c:axId val="170605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67328"/>
        <c:crosses val="autoZero"/>
        <c:auto val="1"/>
        <c:lblAlgn val="ctr"/>
        <c:lblOffset val="100"/>
        <c:noMultiLvlLbl val="0"/>
      </c:catAx>
      <c:valAx>
        <c:axId val="17060673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5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[Retail_Sales_Analysis_Sunil.xlsx]Pivot_Analysis!PivotTable5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by</a:t>
            </a:r>
            <a:r>
              <a:rPr lang="en-IN" baseline="0"/>
              <a:t> Payment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Pivot_Analysis!$B$24</c:f>
              <c:strCache>
                <c:ptCount val="1"/>
                <c:pt idx="0">
                  <c:v>Total</c:v>
                </c:pt>
              </c:strCache>
            </c:strRef>
          </c:tx>
          <c:spPr>
            <a:solidFill>
              <a:schemeClr val="accent1"/>
            </a:solidFill>
            <a:ln>
              <a:noFill/>
            </a:ln>
            <a:effectLst/>
          </c:spPr>
          <c:invertIfNegative val="0"/>
          <c:cat>
            <c:strRef>
              <c:f>Pivot_Analysis!$A$25:$A$30</c:f>
              <c:strCache>
                <c:ptCount val="5"/>
                <c:pt idx="0">
                  <c:v>Bank Transfer</c:v>
                </c:pt>
                <c:pt idx="1">
                  <c:v>Cash</c:v>
                </c:pt>
                <c:pt idx="2">
                  <c:v>Credit Card</c:v>
                </c:pt>
                <c:pt idx="3">
                  <c:v>Debit Card</c:v>
                </c:pt>
                <c:pt idx="4">
                  <c:v>UPI</c:v>
                </c:pt>
              </c:strCache>
            </c:strRef>
          </c:cat>
          <c:val>
            <c:numRef>
              <c:f>Pivot_Analysis!$B$25:$B$30</c:f>
              <c:numCache>
                <c:formatCode>General</c:formatCode>
                <c:ptCount val="5"/>
                <c:pt idx="0">
                  <c:v>4</c:v>
                </c:pt>
                <c:pt idx="1">
                  <c:v>6</c:v>
                </c:pt>
                <c:pt idx="2">
                  <c:v>9</c:v>
                </c:pt>
                <c:pt idx="3">
                  <c:v>8</c:v>
                </c:pt>
                <c:pt idx="4">
                  <c:v>13</c:v>
                </c:pt>
              </c:numCache>
            </c:numRef>
          </c:val>
          <c:extLst>
            <c:ext xmlns:c16="http://schemas.microsoft.com/office/drawing/2014/chart" uri="{C3380CC4-5D6E-409C-BE32-E72D297353CC}">
              <c16:uniqueId val="{00000000-87E2-4D4B-A676-6E86F8A2DA32}"/>
            </c:ext>
          </c:extLst>
        </c:ser>
        <c:dLbls>
          <c:showLegendKey val="0"/>
          <c:showVal val="0"/>
          <c:showCatName val="0"/>
          <c:showSerName val="0"/>
          <c:showPercent val="0"/>
          <c:showBubbleSize val="0"/>
        </c:dLbls>
        <c:gapWidth val="182"/>
        <c:axId val="1706072128"/>
        <c:axId val="1706068768"/>
      </c:barChart>
      <c:catAx>
        <c:axId val="170607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68768"/>
        <c:crosses val="autoZero"/>
        <c:auto val="1"/>
        <c:lblAlgn val="ctr"/>
        <c:lblOffset val="100"/>
        <c:noMultiLvlLbl val="0"/>
      </c:catAx>
      <c:valAx>
        <c:axId val="170606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07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155864</xdr:colOff>
      <xdr:row>27</xdr:row>
      <xdr:rowOff>3525</xdr:rowOff>
    </xdr:from>
    <xdr:to>
      <xdr:col>7</xdr:col>
      <xdr:colOff>460664</xdr:colOff>
      <xdr:row>41</xdr:row>
      <xdr:rowOff>79725</xdr:rowOff>
    </xdr:to>
    <xdr:graphicFrame macro="">
      <xdr:nvGraphicFramePr>
        <xdr:cNvPr id="2" name="Retail_Analysis_Dashboard">
          <a:extLst>
            <a:ext uri="{FF2B5EF4-FFF2-40B4-BE49-F238E27FC236}">
              <a16:creationId xmlns:a16="http://schemas.microsoft.com/office/drawing/2014/main" id="{BF76CF3D-267D-CE02-D4E2-8ED482056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554181</xdr:colOff>
      <xdr:row>26</xdr:row>
      <xdr:rowOff>144917</xdr:rowOff>
    </xdr:from>
    <xdr:to>
      <xdr:col>38</xdr:col>
      <xdr:colOff>252845</xdr:colOff>
      <xdr:row>41</xdr:row>
      <xdr:rowOff>30617</xdr:rowOff>
    </xdr:to>
    <xdr:graphicFrame macro="">
      <xdr:nvGraphicFramePr>
        <xdr:cNvPr id="3" name="Chart 2">
          <a:extLst>
            <a:ext uri="{FF2B5EF4-FFF2-40B4-BE49-F238E27FC236}">
              <a16:creationId xmlns:a16="http://schemas.microsoft.com/office/drawing/2014/main" id="{7C618C8B-6EAC-68BB-E7D6-EF5266BA9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544905</xdr:colOff>
      <xdr:row>26</xdr:row>
      <xdr:rowOff>164524</xdr:rowOff>
    </xdr:from>
    <xdr:to>
      <xdr:col>15</xdr:col>
      <xdr:colOff>240105</xdr:colOff>
      <xdr:row>41</xdr:row>
      <xdr:rowOff>50224</xdr:rowOff>
    </xdr:to>
    <xdr:graphicFrame macro="">
      <xdr:nvGraphicFramePr>
        <xdr:cNvPr id="4" name="Chart 3">
          <a:extLst>
            <a:ext uri="{FF2B5EF4-FFF2-40B4-BE49-F238E27FC236}">
              <a16:creationId xmlns:a16="http://schemas.microsoft.com/office/drawing/2014/main" id="{D58E5732-6A02-4FDD-0908-1F8AAF8A0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79047</xdr:colOff>
      <xdr:row>26</xdr:row>
      <xdr:rowOff>143679</xdr:rowOff>
    </xdr:from>
    <xdr:to>
      <xdr:col>30</xdr:col>
      <xdr:colOff>380382</xdr:colOff>
      <xdr:row>41</xdr:row>
      <xdr:rowOff>29379</xdr:rowOff>
    </xdr:to>
    <xdr:graphicFrame macro="">
      <xdr:nvGraphicFramePr>
        <xdr:cNvPr id="5" name="Chart 4">
          <a:extLst>
            <a:ext uri="{FF2B5EF4-FFF2-40B4-BE49-F238E27FC236}">
              <a16:creationId xmlns:a16="http://schemas.microsoft.com/office/drawing/2014/main" id="{AF3A71A6-FC59-1B01-3927-C63D3808D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311727</xdr:colOff>
      <xdr:row>26</xdr:row>
      <xdr:rowOff>131555</xdr:rowOff>
    </xdr:from>
    <xdr:to>
      <xdr:col>23</xdr:col>
      <xdr:colOff>10391</xdr:colOff>
      <xdr:row>41</xdr:row>
      <xdr:rowOff>17255</xdr:rowOff>
    </xdr:to>
    <xdr:graphicFrame macro="">
      <xdr:nvGraphicFramePr>
        <xdr:cNvPr id="6" name="Chart 5">
          <a:extLst>
            <a:ext uri="{FF2B5EF4-FFF2-40B4-BE49-F238E27FC236}">
              <a16:creationId xmlns:a16="http://schemas.microsoft.com/office/drawing/2014/main" id="{B5DB3757-FD27-DE02-2F0E-B97C0163E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31296</xdr:colOff>
      <xdr:row>10</xdr:row>
      <xdr:rowOff>123825</xdr:rowOff>
    </xdr:from>
    <xdr:to>
      <xdr:col>9</xdr:col>
      <xdr:colOff>23132</xdr:colOff>
      <xdr:row>23</xdr:row>
      <xdr:rowOff>171450</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8986ADF1-AD03-B3E8-EB18-C89F488807F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705225" y="234178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17690</xdr:colOff>
      <xdr:row>10</xdr:row>
      <xdr:rowOff>137432</xdr:rowOff>
    </xdr:from>
    <xdr:to>
      <xdr:col>3</xdr:col>
      <xdr:colOff>9526</xdr:colOff>
      <xdr:row>23</xdr:row>
      <xdr:rowOff>185057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6440FF1-CB50-8A58-A09F-695D7E9300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690" y="235539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17690</xdr:colOff>
      <xdr:row>10</xdr:row>
      <xdr:rowOff>137432</xdr:rowOff>
    </xdr:from>
    <xdr:to>
      <xdr:col>6</xdr:col>
      <xdr:colOff>9525</xdr:colOff>
      <xdr:row>23</xdr:row>
      <xdr:rowOff>185057</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FD47D27-C105-8845-CF53-75CA9094AA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54654" y="235539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31297</xdr:colOff>
      <xdr:row>10</xdr:row>
      <xdr:rowOff>110218</xdr:rowOff>
    </xdr:from>
    <xdr:to>
      <xdr:col>12</xdr:col>
      <xdr:colOff>23133</xdr:colOff>
      <xdr:row>23</xdr:row>
      <xdr:rowOff>157843</xdr:rowOff>
    </xdr:to>
    <mc:AlternateContent xmlns:mc="http://schemas.openxmlformats.org/markup-compatibility/2006">
      <mc:Choice xmlns:a14="http://schemas.microsoft.com/office/drawing/2010/main" Requires="a14">
        <xdr:graphicFrame macro="">
          <xdr:nvGraphicFramePr>
            <xdr:cNvPr id="10" name="Payment_Mode">
              <a:extLst>
                <a:ext uri="{FF2B5EF4-FFF2-40B4-BE49-F238E27FC236}">
                  <a16:creationId xmlns:a16="http://schemas.microsoft.com/office/drawing/2014/main" id="{B55BEB99-54C5-F77A-3F48-03AAA90B4FA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5542190" y="232818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refreshedDate="46167.661751388892" createdVersion="8" refreshedVersion="8" minRefreshableVersion="3" recordCount="40" xr:uid="{F0754CD6-52D8-4937-9011-0C3914058137}">
  <cacheSource type="worksheet">
    <worksheetSource name="SalesData"/>
  </cacheSource>
  <cacheFields count="18">
    <cacheField name="Order_ID" numFmtId="0">
      <sharedItems/>
    </cacheField>
    <cacheField name="Order_Date" numFmtId="14">
      <sharedItems containsSemiMixedTypes="0" containsNonDate="0" containsDate="1" containsString="0" minDate="2025-01-03T00:00:00" maxDate="2025-08-30T00:00:00"/>
    </cacheField>
    <cacheField name="Customer_Name" numFmtId="0">
      <sharedItems/>
    </cacheField>
    <cacheField name="Segment" numFmtId="0">
      <sharedItems count="3">
        <s v="Consumer"/>
        <s v="Corporate"/>
        <s v="Home Office"/>
      </sharedItems>
    </cacheField>
    <cacheField name="Region" numFmtId="0">
      <sharedItems count="4">
        <s v="South"/>
        <s v="West"/>
        <s v="North"/>
        <s v="East"/>
      </sharedItems>
    </cacheField>
    <cacheField name="Category" numFmtId="0">
      <sharedItems count="3">
        <s v="Technology"/>
        <s v="Furniture"/>
        <s v="Office Supplies"/>
      </sharedItems>
    </cacheField>
    <cacheField name="Product" numFmtId="0">
      <sharedItems/>
    </cacheField>
    <cacheField name="Quantity" numFmtId="0">
      <sharedItems containsSemiMixedTypes="0" containsString="0" containsNumber="1" containsInteger="1" minValue="1" maxValue="20"/>
    </cacheField>
    <cacheField name="Unit_Price" numFmtId="0">
      <sharedItems containsSemiMixedTypes="0" containsString="0" containsNumber="1" containsInteger="1" minValue="75" maxValue="18000"/>
    </cacheField>
    <cacheField name="Sales" numFmtId="0">
      <sharedItems containsSemiMixedTypes="0" containsString="0" containsNumber="1" containsInteger="1" minValue="720" maxValue="19000"/>
    </cacheField>
    <cacheField name="Cost" numFmtId="0">
      <sharedItems containsSemiMixedTypes="0" containsString="0" containsNumber="1" containsInteger="1" minValue="420" maxValue="14500"/>
    </cacheField>
    <cacheField name="Profit" numFmtId="0">
      <sharedItems containsSemiMixedTypes="0" containsString="0" containsNumber="1" containsInteger="1" minValue="300" maxValue="4500"/>
    </cacheField>
    <cacheField name="Payment_Mode" numFmtId="0">
      <sharedItems count="5">
        <s v="UPI"/>
        <s v="Credit Card"/>
        <s v="Cash"/>
        <s v="Debit Card"/>
        <s v="Bank Transfer"/>
      </sharedItems>
    </cacheField>
    <cacheField name="Month" numFmtId="0">
      <sharedItems count="8">
        <s v="Jan-2025"/>
        <s v="Feb-2025"/>
        <s v="Mar-2025"/>
        <s v="Apr-2025"/>
        <s v="May-2025"/>
        <s v="Jun-2025"/>
        <s v="Jul-2025"/>
        <s v="Aug-2025"/>
      </sharedItems>
    </cacheField>
    <cacheField name="Profit_Margin" numFmtId="10">
      <sharedItems containsSemiMixedTypes="0" containsString="0" containsNumber="1" minValue="0.18823529411764706" maxValue="0.46666666666666667"/>
    </cacheField>
    <cacheField name="Month_Start" numFmtId="14">
      <sharedItems containsSemiMixedTypes="0" containsNonDate="0" containsDate="1" containsString="0" minDate="2025-01-01T00:00:00" maxDate="2025-08-02T00:00:00" count="8">
        <d v="2025-01-01T00:00:00"/>
        <d v="2025-02-01T00:00:00"/>
        <d v="2025-03-01T00:00:00"/>
        <d v="2025-04-01T00:00:00"/>
        <d v="2025-05-01T00:00:00"/>
        <d v="2025-06-01T00:00:00"/>
        <d v="2025-07-01T00:00:00"/>
        <d v="2025-08-01T00:00:00"/>
      </sharedItems>
      <fieldGroup par="17"/>
    </cacheField>
    <cacheField name="Days (Month_Start)" numFmtId="0" databaseField="0">
      <fieldGroup base="15">
        <rangePr groupBy="days" startDate="2025-01-01T00:00:00" endDate="2025-08-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8-2025"/>
        </groupItems>
      </fieldGroup>
    </cacheField>
    <cacheField name="Months (Month_Start)" numFmtId="0" databaseField="0">
      <fieldGroup base="15">
        <rangePr groupBy="months" startDate="2025-01-01T00:00:00" endDate="2025-08-02T00:00:00"/>
        <groupItems count="14">
          <s v="&lt;01-01-2025"/>
          <s v="Jan"/>
          <s v="Feb"/>
          <s v="Mar"/>
          <s v="Apr"/>
          <s v="May"/>
          <s v="Jun"/>
          <s v="Jul"/>
          <s v="Aug"/>
          <s v="Sep"/>
          <s v="Oct"/>
          <s v="Nov"/>
          <s v="Dec"/>
          <s v="&gt;02-08-2025"/>
        </groupItems>
      </fieldGroup>
    </cacheField>
  </cacheFields>
  <extLst>
    <ext xmlns:x14="http://schemas.microsoft.com/office/spreadsheetml/2009/9/main" uri="{725AE2AE-9491-48be-B2B4-4EB974FC3084}">
      <x14:pivotCacheDefinition pivotCacheId="132717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RD-1001"/>
    <d v="2025-01-03T00:00:00"/>
    <s v="Aarav Sharma"/>
    <x v="0"/>
    <x v="0"/>
    <x v="0"/>
    <s v="Wireless Mouse"/>
    <n v="3"/>
    <n v="799"/>
    <n v="2397"/>
    <n v="1500"/>
    <n v="897"/>
    <x v="0"/>
    <x v="0"/>
    <n v="0.37421777221526908"/>
    <x v="0"/>
  </r>
  <r>
    <s v="ORD-1002"/>
    <d v="2025-01-06T00:00:00"/>
    <s v="Neha Rao"/>
    <x v="1"/>
    <x v="1"/>
    <x v="1"/>
    <s v="Office Chair"/>
    <n v="2"/>
    <n v="4500"/>
    <n v="9000"/>
    <n v="6200"/>
    <n v="2800"/>
    <x v="1"/>
    <x v="0"/>
    <n v="0.31111111111111112"/>
    <x v="0"/>
  </r>
  <r>
    <s v="ORD-1003"/>
    <d v="2025-01-09T00:00:00"/>
    <s v="Rahul Mehta"/>
    <x v="0"/>
    <x v="2"/>
    <x v="2"/>
    <s v="Notebook Pack"/>
    <n v="5"/>
    <n v="220"/>
    <n v="1100"/>
    <n v="700"/>
    <n v="400"/>
    <x v="2"/>
    <x v="0"/>
    <n v="0.36363636363636365"/>
    <x v="0"/>
  </r>
  <r>
    <s v="ORD-1004"/>
    <d v="2025-01-15T00:00:00"/>
    <s v="Priya Nair"/>
    <x v="2"/>
    <x v="0"/>
    <x v="0"/>
    <s v="Keyboard"/>
    <n v="2"/>
    <n v="1200"/>
    <n v="2400"/>
    <n v="1600"/>
    <n v="800"/>
    <x v="3"/>
    <x v="0"/>
    <n v="0.33333333333333331"/>
    <x v="0"/>
  </r>
  <r>
    <s v="ORD-1005"/>
    <d v="2025-01-20T00:00:00"/>
    <s v="Vikram Singh"/>
    <x v="1"/>
    <x v="3"/>
    <x v="1"/>
    <s v="Study Desk"/>
    <n v="1"/>
    <n v="8500"/>
    <n v="8500"/>
    <n v="6900"/>
    <n v="1600"/>
    <x v="0"/>
    <x v="0"/>
    <n v="0.18823529411764706"/>
    <x v="0"/>
  </r>
  <r>
    <s v="ORD-1006"/>
    <d v="2025-02-02T00:00:00"/>
    <s v="Ananya Das"/>
    <x v="0"/>
    <x v="1"/>
    <x v="2"/>
    <s v="Pens Set"/>
    <n v="10"/>
    <n v="90"/>
    <n v="900"/>
    <n v="500"/>
    <n v="400"/>
    <x v="0"/>
    <x v="1"/>
    <n v="0.44444444444444442"/>
    <x v="1"/>
  </r>
  <r>
    <s v="ORD-1007"/>
    <d v="2025-02-07T00:00:00"/>
    <s v="Kiran Kumar"/>
    <x v="1"/>
    <x v="0"/>
    <x v="0"/>
    <s v="Monitor"/>
    <n v="2"/>
    <n v="9500"/>
    <n v="19000"/>
    <n v="14500"/>
    <n v="4500"/>
    <x v="1"/>
    <x v="1"/>
    <n v="0.23684210526315788"/>
    <x v="1"/>
  </r>
  <r>
    <s v="ORD-1008"/>
    <d v="2025-02-11T00:00:00"/>
    <s v="Sneha Iyer"/>
    <x v="2"/>
    <x v="2"/>
    <x v="1"/>
    <s v="Bookshelf"/>
    <n v="1"/>
    <n v="6200"/>
    <n v="6200"/>
    <n v="4500"/>
    <n v="1700"/>
    <x v="3"/>
    <x v="1"/>
    <n v="0.27419354838709675"/>
    <x v="1"/>
  </r>
  <r>
    <s v="ORD-1009"/>
    <d v="2025-02-18T00:00:00"/>
    <s v="Manish Gupta"/>
    <x v="0"/>
    <x v="3"/>
    <x v="0"/>
    <s v="USB Hub"/>
    <n v="4"/>
    <n v="650"/>
    <n v="2600"/>
    <n v="1600"/>
    <n v="1000"/>
    <x v="0"/>
    <x v="1"/>
    <n v="0.38461538461538464"/>
    <x v="1"/>
  </r>
  <r>
    <s v="ORD-1010"/>
    <d v="2025-02-24T00:00:00"/>
    <s v="Divya Menon"/>
    <x v="1"/>
    <x v="1"/>
    <x v="2"/>
    <s v="Printer Paper"/>
    <n v="8"/>
    <n v="350"/>
    <n v="2800"/>
    <n v="1900"/>
    <n v="900"/>
    <x v="2"/>
    <x v="1"/>
    <n v="0.32142857142857145"/>
    <x v="1"/>
  </r>
  <r>
    <s v="ORD-1011"/>
    <d v="2025-03-03T00:00:00"/>
    <s v="Suresh Reddy"/>
    <x v="0"/>
    <x v="0"/>
    <x v="1"/>
    <s v="Office Chair"/>
    <n v="1"/>
    <n v="4500"/>
    <n v="4500"/>
    <n v="3100"/>
    <n v="1400"/>
    <x v="1"/>
    <x v="2"/>
    <n v="0.31111111111111112"/>
    <x v="2"/>
  </r>
  <r>
    <s v="ORD-1012"/>
    <d v="2025-03-08T00:00:00"/>
    <s v="Kavya Jain"/>
    <x v="1"/>
    <x v="2"/>
    <x v="0"/>
    <s v="Laptop Stand"/>
    <n v="6"/>
    <n v="999"/>
    <n v="5994"/>
    <n v="3900"/>
    <n v="2094"/>
    <x v="0"/>
    <x v="2"/>
    <n v="0.34934934934934936"/>
    <x v="2"/>
  </r>
  <r>
    <s v="ORD-1013"/>
    <d v="2025-03-13T00:00:00"/>
    <s v="Rohan Pillai"/>
    <x v="2"/>
    <x v="3"/>
    <x v="2"/>
    <s v="Desk Organizer"/>
    <n v="3"/>
    <n v="550"/>
    <n v="1650"/>
    <n v="950"/>
    <n v="700"/>
    <x v="3"/>
    <x v="2"/>
    <n v="0.42424242424242425"/>
    <x v="2"/>
  </r>
  <r>
    <s v="ORD-1014"/>
    <d v="2025-03-19T00:00:00"/>
    <s v="Meera Joshi"/>
    <x v="0"/>
    <x v="1"/>
    <x v="0"/>
    <s v="Webcam"/>
    <n v="2"/>
    <n v="2600"/>
    <n v="5200"/>
    <n v="3600"/>
    <n v="1600"/>
    <x v="1"/>
    <x v="2"/>
    <n v="0.30769230769230771"/>
    <x v="2"/>
  </r>
  <r>
    <s v="ORD-1015"/>
    <d v="2025-03-25T00:00:00"/>
    <s v="Nikhil Verma"/>
    <x v="1"/>
    <x v="0"/>
    <x v="1"/>
    <s v="Conference Table"/>
    <n v="1"/>
    <n v="18000"/>
    <n v="18000"/>
    <n v="14200"/>
    <n v="3800"/>
    <x v="4"/>
    <x v="2"/>
    <n v="0.21111111111111111"/>
    <x v="2"/>
  </r>
  <r>
    <s v="ORD-1016"/>
    <d v="2025-04-04T00:00:00"/>
    <s v="Asha Thomas"/>
    <x v="0"/>
    <x v="2"/>
    <x v="2"/>
    <s v="Stapler"/>
    <n v="4"/>
    <n v="180"/>
    <n v="720"/>
    <n v="420"/>
    <n v="300"/>
    <x v="2"/>
    <x v="3"/>
    <n v="0.41666666666666669"/>
    <x v="3"/>
  </r>
  <r>
    <s v="ORD-1017"/>
    <d v="2025-04-09T00:00:00"/>
    <s v="Ramesh Patil"/>
    <x v="1"/>
    <x v="3"/>
    <x v="0"/>
    <s v="Headset"/>
    <n v="5"/>
    <n v="1800"/>
    <n v="9000"/>
    <n v="6100"/>
    <n v="2900"/>
    <x v="0"/>
    <x v="3"/>
    <n v="0.32222222222222224"/>
    <x v="3"/>
  </r>
  <r>
    <s v="ORD-1018"/>
    <d v="2025-04-16T00:00:00"/>
    <s v="Isha Kapoor"/>
    <x v="2"/>
    <x v="0"/>
    <x v="1"/>
    <s v="Ergonomic Chair"/>
    <n v="1"/>
    <n v="7200"/>
    <n v="7200"/>
    <n v="5300"/>
    <n v="1900"/>
    <x v="1"/>
    <x v="3"/>
    <n v="0.2638888888888889"/>
    <x v="3"/>
  </r>
  <r>
    <s v="ORD-1019"/>
    <d v="2025-04-21T00:00:00"/>
    <s v="Farhan Ali"/>
    <x v="0"/>
    <x v="1"/>
    <x v="0"/>
    <s v="External Hard Drive"/>
    <n v="2"/>
    <n v="5200"/>
    <n v="10400"/>
    <n v="7600"/>
    <n v="2800"/>
    <x v="3"/>
    <x v="3"/>
    <n v="0.26923076923076922"/>
    <x v="3"/>
  </r>
  <r>
    <s v="ORD-1020"/>
    <d v="2025-04-27T00:00:00"/>
    <s v="Tanya Bose"/>
    <x v="1"/>
    <x v="2"/>
    <x v="2"/>
    <s v="Whiteboard Marker"/>
    <n v="12"/>
    <n v="75"/>
    <n v="900"/>
    <n v="480"/>
    <n v="420"/>
    <x v="0"/>
    <x v="3"/>
    <n v="0.46666666666666667"/>
    <x v="3"/>
  </r>
  <r>
    <s v="ORD-1021"/>
    <d v="2025-05-02T00:00:00"/>
    <s v="Arjun Rao"/>
    <x v="0"/>
    <x v="0"/>
    <x v="0"/>
    <s v="Wireless Mouse"/>
    <n v="4"/>
    <n v="799"/>
    <n v="3196"/>
    <n v="2000"/>
    <n v="1196"/>
    <x v="0"/>
    <x v="4"/>
    <n v="0.37421777221526908"/>
    <x v="4"/>
  </r>
  <r>
    <s v="ORD-1022"/>
    <d v="2025-05-07T00:00:00"/>
    <s v="Nisha Shetty"/>
    <x v="1"/>
    <x v="1"/>
    <x v="1"/>
    <s v="Filing Cabinet"/>
    <n v="2"/>
    <n v="5600"/>
    <n v="11200"/>
    <n v="8200"/>
    <n v="3000"/>
    <x v="4"/>
    <x v="4"/>
    <n v="0.26785714285714285"/>
    <x v="4"/>
  </r>
  <r>
    <s v="ORD-1023"/>
    <d v="2025-05-11T00:00:00"/>
    <s v="Dev Malhotra"/>
    <x v="2"/>
    <x v="3"/>
    <x v="2"/>
    <s v="Notebook Pack"/>
    <n v="7"/>
    <n v="220"/>
    <n v="1540"/>
    <n v="980"/>
    <n v="560"/>
    <x v="2"/>
    <x v="4"/>
    <n v="0.36363636363636365"/>
    <x v="4"/>
  </r>
  <r>
    <s v="ORD-1024"/>
    <d v="2025-05-17T00:00:00"/>
    <s v="Pooja Hegde"/>
    <x v="0"/>
    <x v="2"/>
    <x v="0"/>
    <s v="Keyboard"/>
    <n v="3"/>
    <n v="1200"/>
    <n v="3600"/>
    <n v="2400"/>
    <n v="1200"/>
    <x v="3"/>
    <x v="4"/>
    <n v="0.33333333333333331"/>
    <x v="4"/>
  </r>
  <r>
    <s v="ORD-1025"/>
    <d v="2025-05-23T00:00:00"/>
    <s v="Sameer Khan"/>
    <x v="1"/>
    <x v="0"/>
    <x v="0"/>
    <s v="Monitor"/>
    <n v="1"/>
    <n v="9500"/>
    <n v="9500"/>
    <n v="7250"/>
    <n v="2250"/>
    <x v="1"/>
    <x v="4"/>
    <n v="0.23684210526315788"/>
    <x v="4"/>
  </r>
  <r>
    <s v="ORD-1026"/>
    <d v="2025-06-01T00:00:00"/>
    <s v="Leena Roy"/>
    <x v="0"/>
    <x v="3"/>
    <x v="2"/>
    <s v="Pens Set"/>
    <n v="15"/>
    <n v="90"/>
    <n v="1350"/>
    <n v="750"/>
    <n v="600"/>
    <x v="0"/>
    <x v="5"/>
    <n v="0.44444444444444442"/>
    <x v="5"/>
  </r>
  <r>
    <s v="ORD-1027"/>
    <d v="2025-06-05T00:00:00"/>
    <s v="Harish Gowda"/>
    <x v="1"/>
    <x v="2"/>
    <x v="1"/>
    <s v="Study Desk"/>
    <n v="2"/>
    <n v="8500"/>
    <n v="17000"/>
    <n v="13800"/>
    <n v="3200"/>
    <x v="4"/>
    <x v="5"/>
    <n v="0.18823529411764706"/>
    <x v="5"/>
  </r>
  <r>
    <s v="ORD-1028"/>
    <d v="2025-06-12T00:00:00"/>
    <s v="Swati Kulkarni"/>
    <x v="2"/>
    <x v="1"/>
    <x v="0"/>
    <s v="USB Hub"/>
    <n v="5"/>
    <n v="650"/>
    <n v="3250"/>
    <n v="2000"/>
    <n v="1250"/>
    <x v="0"/>
    <x v="5"/>
    <n v="0.38461538461538464"/>
    <x v="5"/>
  </r>
  <r>
    <s v="ORD-1029"/>
    <d v="2025-06-18T00:00:00"/>
    <s v="Yash Agarwal"/>
    <x v="0"/>
    <x v="0"/>
    <x v="1"/>
    <s v="Bookshelf"/>
    <n v="1"/>
    <n v="6200"/>
    <n v="6200"/>
    <n v="4500"/>
    <n v="1700"/>
    <x v="1"/>
    <x v="5"/>
    <n v="0.27419354838709675"/>
    <x v="5"/>
  </r>
  <r>
    <s v="ORD-1030"/>
    <d v="2025-06-25T00:00:00"/>
    <s v="Rekha Sinha"/>
    <x v="1"/>
    <x v="3"/>
    <x v="2"/>
    <s v="Printer Paper"/>
    <n v="10"/>
    <n v="350"/>
    <n v="3500"/>
    <n v="2375"/>
    <n v="1125"/>
    <x v="3"/>
    <x v="5"/>
    <n v="0.32142857142857145"/>
    <x v="5"/>
  </r>
  <r>
    <s v="ORD-1031"/>
    <d v="2025-07-03T00:00:00"/>
    <s v="Aditya Nair"/>
    <x v="0"/>
    <x v="1"/>
    <x v="0"/>
    <s v="Laptop Stand"/>
    <n v="4"/>
    <n v="999"/>
    <n v="3996"/>
    <n v="2600"/>
    <n v="1396"/>
    <x v="0"/>
    <x v="6"/>
    <n v="0.34934934934934936"/>
    <x v="6"/>
  </r>
  <r>
    <s v="ORD-1032"/>
    <d v="2025-07-08T00:00:00"/>
    <s v="Maya Krishnan"/>
    <x v="1"/>
    <x v="0"/>
    <x v="1"/>
    <s v="Office Chair"/>
    <n v="3"/>
    <n v="4500"/>
    <n v="13500"/>
    <n v="9300"/>
    <n v="4200"/>
    <x v="1"/>
    <x v="6"/>
    <n v="0.31111111111111112"/>
    <x v="6"/>
  </r>
  <r>
    <s v="ORD-1033"/>
    <d v="2025-07-14T00:00:00"/>
    <s v="Bharat Rao"/>
    <x v="2"/>
    <x v="2"/>
    <x v="2"/>
    <s v="Desk Organizer"/>
    <n v="6"/>
    <n v="550"/>
    <n v="3300"/>
    <n v="1900"/>
    <n v="1400"/>
    <x v="2"/>
    <x v="6"/>
    <n v="0.42424242424242425"/>
    <x v="6"/>
  </r>
  <r>
    <s v="ORD-1034"/>
    <d v="2025-07-20T00:00:00"/>
    <s v="Anjali Shah"/>
    <x v="0"/>
    <x v="3"/>
    <x v="0"/>
    <s v="Webcam"/>
    <n v="1"/>
    <n v="2600"/>
    <n v="2600"/>
    <n v="1800"/>
    <n v="800"/>
    <x v="3"/>
    <x v="6"/>
    <n v="0.30769230769230771"/>
    <x v="6"/>
  </r>
  <r>
    <s v="ORD-1035"/>
    <d v="2025-07-28T00:00:00"/>
    <s v="Karthik Menon"/>
    <x v="1"/>
    <x v="1"/>
    <x v="0"/>
    <s v="Headset"/>
    <n v="4"/>
    <n v="1800"/>
    <n v="7200"/>
    <n v="4880"/>
    <n v="2320"/>
    <x v="0"/>
    <x v="6"/>
    <n v="0.32222222222222224"/>
    <x v="6"/>
  </r>
  <r>
    <s v="ORD-1036"/>
    <d v="2025-08-04T00:00:00"/>
    <s v="Simran Kaur"/>
    <x v="0"/>
    <x v="2"/>
    <x v="1"/>
    <s v="Ergonomic Chair"/>
    <n v="1"/>
    <n v="7200"/>
    <n v="7200"/>
    <n v="5300"/>
    <n v="1900"/>
    <x v="1"/>
    <x v="7"/>
    <n v="0.2638888888888889"/>
    <x v="7"/>
  </r>
  <r>
    <s v="ORD-1037"/>
    <d v="2025-08-10T00:00:00"/>
    <s v="Pranav Bhat"/>
    <x v="1"/>
    <x v="0"/>
    <x v="0"/>
    <s v="External Hard Drive"/>
    <n v="3"/>
    <n v="5200"/>
    <n v="15600"/>
    <n v="11400"/>
    <n v="4200"/>
    <x v="4"/>
    <x v="7"/>
    <n v="0.26923076923076922"/>
    <x v="7"/>
  </r>
  <r>
    <s v="ORD-1038"/>
    <d v="2025-08-15T00:00:00"/>
    <s v="Geeta Murthy"/>
    <x v="2"/>
    <x v="3"/>
    <x v="2"/>
    <s v="Stapler"/>
    <n v="8"/>
    <n v="180"/>
    <n v="1440"/>
    <n v="840"/>
    <n v="600"/>
    <x v="2"/>
    <x v="7"/>
    <n v="0.41666666666666669"/>
    <x v="7"/>
  </r>
  <r>
    <s v="ORD-1039"/>
    <d v="2025-08-21T00:00:00"/>
    <s v="Sanjay Mishra"/>
    <x v="0"/>
    <x v="1"/>
    <x v="1"/>
    <s v="Filing Cabinet"/>
    <n v="1"/>
    <n v="5600"/>
    <n v="5600"/>
    <n v="4100"/>
    <n v="1500"/>
    <x v="3"/>
    <x v="7"/>
    <n v="0.26785714285714285"/>
    <x v="7"/>
  </r>
  <r>
    <s v="ORD-1040"/>
    <d v="2025-08-29T00:00:00"/>
    <s v="Ritika Sen"/>
    <x v="1"/>
    <x v="2"/>
    <x v="2"/>
    <s v="Whiteboard Marker"/>
    <n v="20"/>
    <n v="75"/>
    <n v="1500"/>
    <n v="800"/>
    <n v="700"/>
    <x v="0"/>
    <x v="7"/>
    <n v="0.4666666666666666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F673E4-C478-4F10-AE48-10F9CE0119E0}"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G26" firstHeaderRow="0" firstDataRow="1" firstDataCol="0"/>
  <pivotFields count="18">
    <pivotField dataField="1" showAll="0"/>
    <pivotField numFmtId="14" showAll="0"/>
    <pivotField showAll="0"/>
    <pivotField showAll="0">
      <items count="4">
        <item x="0"/>
        <item x="1"/>
        <item x="2"/>
        <item t="default"/>
      </items>
    </pivotField>
    <pivotField showAll="0">
      <items count="5">
        <item x="3"/>
        <item x="2"/>
        <item x="0"/>
        <item x="1"/>
        <item t="default"/>
      </items>
    </pivotField>
    <pivotField showAll="0">
      <items count="4">
        <item x="1"/>
        <item x="2"/>
        <item x="0"/>
        <item t="default"/>
      </items>
    </pivotField>
    <pivotField showAll="0"/>
    <pivotField showAll="0"/>
    <pivotField showAll="0"/>
    <pivotField dataField="1" showAll="0"/>
    <pivotField showAll="0"/>
    <pivotField dataField="1" showAll="0"/>
    <pivotField showAll="0">
      <items count="6">
        <item x="4"/>
        <item x="2"/>
        <item x="1"/>
        <item x="3"/>
        <item x="0"/>
        <item t="default"/>
      </items>
    </pivotField>
    <pivotField showAll="0"/>
    <pivotField numFmtId="10" showAll="0"/>
    <pivotField numFmtId="14" showAll="0">
      <items count="9">
        <item x="0"/>
        <item x="1"/>
        <item x="2"/>
        <item x="3"/>
        <item x="4"/>
        <item x="5"/>
        <item x="6"/>
        <item x="7"/>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Total Sales" fld="9" baseField="0" baseItem="1" numFmtId="3"/>
    <dataField name="Total profit" fld="11" baseField="0" baseItem="1" numFmtId="3"/>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B8A189-9817-4090-ABA3-13FFB965A802}"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 Mode">
  <location ref="A24:B30" firstHeaderRow="1" firstDataRow="1" firstDataCol="1"/>
  <pivotFields count="18">
    <pivotField dataField="1" showAll="0"/>
    <pivotField numFmtId="14" showAll="0"/>
    <pivotField showAll="0"/>
    <pivotField showAll="0">
      <items count="4">
        <item x="0"/>
        <item x="1"/>
        <item x="2"/>
        <item t="default"/>
      </items>
    </pivotField>
    <pivotField showAll="0">
      <items count="5">
        <item x="3"/>
        <item x="2"/>
        <item x="0"/>
        <item x="1"/>
        <item t="default"/>
      </items>
    </pivotField>
    <pivotField showAll="0">
      <items count="4">
        <item x="1"/>
        <item x="2"/>
        <item x="0"/>
        <item t="default"/>
      </items>
    </pivotField>
    <pivotField showAll="0"/>
    <pivotField showAll="0"/>
    <pivotField showAll="0"/>
    <pivotField showAll="0"/>
    <pivotField showAll="0"/>
    <pivotField showAll="0"/>
    <pivotField axis="axisRow" showAll="0">
      <items count="6">
        <item x="4"/>
        <item x="2"/>
        <item x="1"/>
        <item x="3"/>
        <item x="0"/>
        <item t="default"/>
      </items>
    </pivotField>
    <pivotField showAll="0"/>
    <pivotField numFmtId="10" showAll="0"/>
    <pivotField numFmtId="14" showAll="0">
      <items count="9">
        <item x="0"/>
        <item x="1"/>
        <item x="2"/>
        <item x="3"/>
        <item x="4"/>
        <item x="5"/>
        <item x="6"/>
        <item x="7"/>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6">
    <i>
      <x/>
    </i>
    <i>
      <x v="1"/>
    </i>
    <i>
      <x v="2"/>
    </i>
    <i>
      <x v="3"/>
    </i>
    <i>
      <x v="4"/>
    </i>
    <i t="grand">
      <x/>
    </i>
  </rowItems>
  <colItems count="1">
    <i/>
  </colItems>
  <dataFields count="1">
    <dataField name="Number of orders"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26D7EA-C671-4240-950A-C54B27AFBF0C}"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E12:G21" firstHeaderRow="0" firstDataRow="1" firstDataCol="1"/>
  <pivotFields count="18">
    <pivotField showAll="0"/>
    <pivotField numFmtId="14" showAll="0"/>
    <pivotField showAll="0"/>
    <pivotField showAll="0">
      <items count="4">
        <item x="0"/>
        <item x="1"/>
        <item x="2"/>
        <item t="default"/>
      </items>
    </pivotField>
    <pivotField showAll="0">
      <items count="5">
        <item x="3"/>
        <item x="2"/>
        <item x="0"/>
        <item x="1"/>
        <item t="default"/>
      </items>
    </pivotField>
    <pivotField showAll="0">
      <items count="4">
        <item x="1"/>
        <item x="2"/>
        <item x="0"/>
        <item t="default"/>
      </items>
    </pivotField>
    <pivotField showAll="0"/>
    <pivotField showAll="0"/>
    <pivotField showAll="0"/>
    <pivotField dataField="1" showAll="0"/>
    <pivotField showAll="0"/>
    <pivotField dataField="1" showAll="0"/>
    <pivotField showAll="0">
      <items count="6">
        <item x="4"/>
        <item x="2"/>
        <item x="1"/>
        <item x="3"/>
        <item x="0"/>
        <item t="default"/>
      </items>
    </pivotField>
    <pivotField showAll="0">
      <items count="9">
        <item x="3"/>
        <item x="7"/>
        <item x="1"/>
        <item x="0"/>
        <item x="6"/>
        <item x="5"/>
        <item x="2"/>
        <item x="4"/>
        <item t="default"/>
      </items>
    </pivotField>
    <pivotField numFmtId="10" showAll="0"/>
    <pivotField numFmtId="14" showAll="0">
      <items count="9">
        <item x="0"/>
        <item x="1"/>
        <item x="2"/>
        <item x="3"/>
        <item x="4"/>
        <item x="5"/>
        <item x="6"/>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9">
    <i>
      <x v="1"/>
    </i>
    <i>
      <x v="2"/>
    </i>
    <i>
      <x v="3"/>
    </i>
    <i>
      <x v="4"/>
    </i>
    <i>
      <x v="5"/>
    </i>
    <i>
      <x v="6"/>
    </i>
    <i>
      <x v="7"/>
    </i>
    <i>
      <x v="8"/>
    </i>
    <i t="grand">
      <x/>
    </i>
  </rowItems>
  <colFields count="1">
    <field x="-2"/>
  </colFields>
  <colItems count="2">
    <i>
      <x/>
    </i>
    <i i="1">
      <x v="1"/>
    </i>
  </colItems>
  <dataFields count="2">
    <dataField name="Total Sales" fld="9" baseField="13" baseItem="0" numFmtId="3"/>
    <dataField name="Total Profit" fld="11" baseField="13" baseItem="0" numFmtId="3"/>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655797-CD21-495E-9CB4-12E5836DFACF}"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Segment">
  <location ref="A12:C16" firstHeaderRow="0" firstDataRow="1" firstDataCol="1"/>
  <pivotFields count="18">
    <pivotField showAll="0"/>
    <pivotField numFmtId="14" showAll="0"/>
    <pivotField showAll="0"/>
    <pivotField axis="axisRow" showAll="0">
      <items count="4">
        <item x="0"/>
        <item x="1"/>
        <item x="2"/>
        <item t="default"/>
      </items>
    </pivotField>
    <pivotField showAll="0">
      <items count="5">
        <item x="3"/>
        <item x="2"/>
        <item x="0"/>
        <item x="1"/>
        <item t="default"/>
      </items>
    </pivotField>
    <pivotField showAll="0">
      <items count="4">
        <item x="1"/>
        <item x="2"/>
        <item x="0"/>
        <item t="default"/>
      </items>
    </pivotField>
    <pivotField showAll="0"/>
    <pivotField showAll="0"/>
    <pivotField showAll="0"/>
    <pivotField dataField="1" showAll="0"/>
    <pivotField showAll="0"/>
    <pivotField dataField="1" showAll="0"/>
    <pivotField showAll="0">
      <items count="6">
        <item x="4"/>
        <item x="2"/>
        <item x="1"/>
        <item x="3"/>
        <item x="0"/>
        <item t="default"/>
      </items>
    </pivotField>
    <pivotField showAll="0"/>
    <pivotField numFmtId="10" showAll="0"/>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Fields count="1">
    <field x="-2"/>
  </colFields>
  <colItems count="2">
    <i>
      <x/>
    </i>
    <i i="1">
      <x v="1"/>
    </i>
  </colItems>
  <dataFields count="2">
    <dataField name="Total Sales" fld="9" baseField="3" baseItem="0" numFmtId="3"/>
    <dataField name="Total Profit" fld="11" baseField="3" baseItem="0" numFmtId="3"/>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CB582B-9468-4BC9-98E5-8FA1121332F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E3:G7" firstHeaderRow="0" firstDataRow="1" firstDataCol="1"/>
  <pivotFields count="18">
    <pivotField showAll="0"/>
    <pivotField numFmtId="14" showAll="0"/>
    <pivotField showAll="0"/>
    <pivotField showAll="0">
      <items count="4">
        <item x="0"/>
        <item x="1"/>
        <item x="2"/>
        <item t="default"/>
      </items>
    </pivotField>
    <pivotField showAll="0">
      <items count="5">
        <item x="3"/>
        <item x="2"/>
        <item x="0"/>
        <item x="1"/>
        <item t="default"/>
      </items>
    </pivotField>
    <pivotField axis="axisRow" showAll="0">
      <items count="4">
        <item x="1"/>
        <item x="2"/>
        <item x="0"/>
        <item t="default"/>
      </items>
    </pivotField>
    <pivotField showAll="0"/>
    <pivotField showAll="0"/>
    <pivotField showAll="0"/>
    <pivotField dataField="1" showAll="0"/>
    <pivotField showAll="0"/>
    <pivotField dataField="1" showAll="0"/>
    <pivotField showAll="0">
      <items count="6">
        <item x="4"/>
        <item x="2"/>
        <item x="1"/>
        <item x="3"/>
        <item x="0"/>
        <item t="default"/>
      </items>
    </pivotField>
    <pivotField showAll="0"/>
    <pivotField numFmtId="10" showAll="0"/>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Fields count="1">
    <field x="-2"/>
  </colFields>
  <colItems count="2">
    <i>
      <x/>
    </i>
    <i i="1">
      <x v="1"/>
    </i>
  </colItems>
  <dataFields count="2">
    <dataField name="Total Sales" fld="9" baseField="5" baseItem="0" numFmtId="3"/>
    <dataField name="Total Profit" fld="11" baseField="5" baseItem="0" numFmtId="3"/>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E30307-A561-4636-B99A-D6F857C86A9F}"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3:C8" firstHeaderRow="0" firstDataRow="1" firstDataCol="1"/>
  <pivotFields count="18">
    <pivotField showAll="0"/>
    <pivotField numFmtId="14" showAll="0"/>
    <pivotField showAll="0"/>
    <pivotField showAll="0">
      <items count="4">
        <item x="0"/>
        <item x="1"/>
        <item x="2"/>
        <item t="default"/>
      </items>
    </pivotField>
    <pivotField axis="axisRow" multipleItemSelectionAllowed="1"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dataField="1" showAll="0"/>
    <pivotField showAll="0"/>
    <pivotField dataField="1" showAll="0"/>
    <pivotField showAll="0">
      <items count="6">
        <item x="4"/>
        <item x="2"/>
        <item x="1"/>
        <item x="3"/>
        <item x="0"/>
        <item t="default"/>
      </items>
    </pivotField>
    <pivotField showAll="0"/>
    <pivotField numFmtId="10" showAll="0"/>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v="1"/>
    </i>
    <i>
      <x/>
    </i>
    <i>
      <x v="2"/>
    </i>
    <i>
      <x v="3"/>
    </i>
    <i t="grand">
      <x/>
    </i>
  </rowItems>
  <colFields count="1">
    <field x="-2"/>
  </colFields>
  <colItems count="2">
    <i>
      <x/>
    </i>
    <i i="1">
      <x v="1"/>
    </i>
  </colItems>
  <dataFields count="2">
    <dataField name="Total Sales" fld="9" baseField="0" baseItem="1" numFmtId="3"/>
    <dataField name="Total Profit" fld="11" baseField="0" baseItem="1" numFmtId="3"/>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EE868CA-C977-4FA4-AABB-84A1D419257C}" sourceName="Segment">
  <pivotTables>
    <pivotTable tabId="2" name="PivotTable4"/>
    <pivotTable tabId="2" name="PivotTable1"/>
    <pivotTable tabId="2" name="PivotTable2"/>
    <pivotTable tabId="2" name="PivotTable3"/>
    <pivotTable tabId="2" name="PivotTable5"/>
    <pivotTable tabId="2" name="PivotTable6"/>
  </pivotTables>
  <data>
    <tabular pivotCacheId="1327171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3E7AD6-8266-4E2A-8486-2226474C97AF}" sourceName="Region">
  <pivotTables>
    <pivotTable tabId="2" name="PivotTable4"/>
    <pivotTable tabId="2" name="PivotTable1"/>
    <pivotTable tabId="2" name="PivotTable2"/>
    <pivotTable tabId="2" name="PivotTable3"/>
    <pivotTable tabId="2" name="PivotTable5"/>
    <pivotTable tabId="2" name="PivotTable6"/>
  </pivotTables>
  <data>
    <tabular pivotCacheId="132717166">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9EA682-CFA3-4EB9-9B62-AF110589CB24}" sourceName="Category">
  <pivotTables>
    <pivotTable tabId="2" name="PivotTable4"/>
    <pivotTable tabId="2" name="PivotTable1"/>
    <pivotTable tabId="2" name="PivotTable2"/>
    <pivotTable tabId="2" name="PivotTable3"/>
    <pivotTable tabId="2" name="PivotTable5"/>
    <pivotTable tabId="2" name="PivotTable6"/>
  </pivotTables>
  <data>
    <tabular pivotCacheId="13271716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CFD5945-D27C-42D7-8332-9E1EF37864F1}" sourceName="Payment_Mode">
  <pivotTables>
    <pivotTable tabId="2" name="PivotTable4"/>
    <pivotTable tabId="2" name="PivotTable1"/>
    <pivotTable tabId="2" name="PivotTable2"/>
    <pivotTable tabId="2" name="PivotTable3"/>
    <pivotTable tabId="2" name="PivotTable5"/>
    <pivotTable tabId="2" name="PivotTable6"/>
  </pivotTables>
  <data>
    <tabular pivotCacheId="132717166">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913D3EB-4811-4450-BC11-CD1F4D3A90A6}" cache="Slicer_Segment" caption="Segment" rowHeight="241300"/>
  <slicer name="Region" xr10:uid="{7DD0F92C-7071-480C-AA19-E9B3B139DF15}" cache="Slicer_Region" caption="Region" rowHeight="241300"/>
  <slicer name="Category" xr10:uid="{E0703F9C-E8DD-48BF-9537-765CFCFB833C}" cache="Slicer_Category" caption="Category" rowHeight="241300"/>
  <slicer name="Payment_Mode" xr10:uid="{7A8AD0F0-82D3-4E6F-A160-9F25BDDA0CD6}" cache="Slicer_Payment_Mode" caption="Payment_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4C2D9A-C1D0-4514-8B0E-8E22CA391ED5}" name="SalesData" displayName="SalesData" ref="A1:P41" totalsRowShown="0" headerRowDxfId="3">
  <autoFilter ref="A1:P41" xr:uid="{D84C2D9A-C1D0-4514-8B0E-8E22CA391ED5}"/>
  <tableColumns count="16">
    <tableColumn id="1" xr3:uid="{0F89E607-B71E-4F19-BD41-799D22DB3E4D}" name="Order_ID"/>
    <tableColumn id="2" xr3:uid="{C948771D-C1D7-4A21-AA8D-A19EF5596D6A}" name="Order_Date" dataDxfId="4"/>
    <tableColumn id="3" xr3:uid="{5781F675-3BFF-4305-AE70-6BD941F4C9C6}" name="Customer_Name"/>
    <tableColumn id="4" xr3:uid="{3D296143-356A-4740-BD14-121A6160E66A}" name="Segment"/>
    <tableColumn id="5" xr3:uid="{89D23B58-C352-4AF0-9051-404FDD19255D}" name="Region"/>
    <tableColumn id="6" xr3:uid="{ECDF7ADD-D55E-4E42-94AF-DA1C4CA77BD3}" name="Category"/>
    <tableColumn id="7" xr3:uid="{1EDC97B5-09A4-4867-82C1-31B9CC9EF6D6}" name="Product"/>
    <tableColumn id="8" xr3:uid="{44F6A9B8-C74E-4445-A594-63EDF077EF29}" name="Quantity"/>
    <tableColumn id="9" xr3:uid="{11F62B9C-922C-4C96-A90E-D6173C268652}" name="Unit_Price"/>
    <tableColumn id="10" xr3:uid="{3F073633-E78C-4B6C-87F0-206747BADC9E}" name="Sales"/>
    <tableColumn id="11" xr3:uid="{E3D6BE4D-4640-43D0-8008-DB292E30C6B9}" name="Cost"/>
    <tableColumn id="12" xr3:uid="{46544679-F5A9-46EF-90F0-BC8DC2FEBDCB}" name="Profit"/>
    <tableColumn id="13" xr3:uid="{3146E28C-04CC-463B-97F5-06449C5624BE}" name="Payment_Mode"/>
    <tableColumn id="15" xr3:uid="{48410C38-82C1-4EB1-8318-8DC205BF887D}" name="Month" dataDxfId="2">
      <calculatedColumnFormula>TEXT(SalesData[Order_Date],"mmm-yyyy")</calculatedColumnFormula>
    </tableColumn>
    <tableColumn id="16" xr3:uid="{2E492D36-75B7-4D0C-BF8F-173C198B48A3}" name="Profit_Margin" dataDxfId="1" dataCellStyle="Per cent">
      <calculatedColumnFormula>IFERROR(SalesData[[#This Row],[Profit]]/SalesData[[#This Row],[Sales]],0)</calculatedColumnFormula>
    </tableColumn>
    <tableColumn id="17" xr3:uid="{789313DD-E155-4476-8878-68A140EE6BCA}" name="Month_Start" dataDxfId="0">
      <calculatedColumnFormula>DATE(YEAR(SalesData[Order_Date]),MONTH(SalesData[Order_Date]),1)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659FF-CC81-412E-B68B-6B9E5ADD3838}">
  <dimension ref="A1:P41"/>
  <sheetViews>
    <sheetView topLeftCell="F1" workbookViewId="0">
      <selection activeCell="P3" sqref="P3"/>
    </sheetView>
  </sheetViews>
  <sheetFormatPr defaultRowHeight="15" x14ac:dyDescent="0.25"/>
  <cols>
    <col min="1" max="1" width="11.140625" customWidth="1"/>
    <col min="2" max="2" width="13.42578125" customWidth="1"/>
    <col min="3" max="3" width="18" customWidth="1"/>
    <col min="4" max="4" width="12.140625" bestFit="1" customWidth="1"/>
    <col min="5" max="5" width="9.28515625" customWidth="1"/>
    <col min="6" max="6" width="14.5703125" bestFit="1" customWidth="1"/>
    <col min="7" max="7" width="18.5703125" bestFit="1" customWidth="1"/>
    <col min="8" max="8" width="10.85546875" customWidth="1"/>
    <col min="9" max="9" width="12.42578125" customWidth="1"/>
    <col min="10" max="10" width="7.7109375" customWidth="1"/>
    <col min="11" max="11" width="7" customWidth="1"/>
    <col min="12" max="12" width="8.140625" customWidth="1"/>
    <col min="13" max="13" width="17.28515625" customWidth="1"/>
    <col min="15" max="15" width="24.28515625" style="4" customWidth="1"/>
    <col min="16" max="16" width="14.42578125" bestFit="1" customWidth="1"/>
  </cols>
  <sheetData>
    <row r="1" spans="1:1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128</v>
      </c>
      <c r="O1" s="3" t="s">
        <v>129</v>
      </c>
      <c r="P1" s="2" t="s">
        <v>137</v>
      </c>
    </row>
    <row r="2" spans="1:16" x14ac:dyDescent="0.25">
      <c r="A2" t="s">
        <v>13</v>
      </c>
      <c r="B2" s="1">
        <v>45660</v>
      </c>
      <c r="C2" t="s">
        <v>14</v>
      </c>
      <c r="D2" t="s">
        <v>15</v>
      </c>
      <c r="E2" t="s">
        <v>16</v>
      </c>
      <c r="F2" t="s">
        <v>17</v>
      </c>
      <c r="G2" t="s">
        <v>18</v>
      </c>
      <c r="H2">
        <v>3</v>
      </c>
      <c r="I2">
        <v>799</v>
      </c>
      <c r="J2">
        <v>2397</v>
      </c>
      <c r="K2">
        <v>1500</v>
      </c>
      <c r="L2">
        <v>897</v>
      </c>
      <c r="M2" t="s">
        <v>19</v>
      </c>
      <c r="N2" t="str">
        <f>TEXT(SalesData[Order_Date],"mmm-yyyy")</f>
        <v>Jan-2025</v>
      </c>
      <c r="O2" s="4">
        <f>IFERROR(SalesData[[#This Row],[Profit]]/SalesData[[#This Row],[Sales]],0)</f>
        <v>0.37421777221526908</v>
      </c>
      <c r="P2" s="1">
        <f>DATE(YEAR(SalesData[Order_Date]),MONTH(SalesData[Order_Date]),1)</f>
        <v>45658</v>
      </c>
    </row>
    <row r="3" spans="1:16" x14ac:dyDescent="0.25">
      <c r="A3" t="s">
        <v>20</v>
      </c>
      <c r="B3" s="1">
        <v>45663</v>
      </c>
      <c r="C3" t="s">
        <v>21</v>
      </c>
      <c r="D3" t="s">
        <v>22</v>
      </c>
      <c r="E3" t="s">
        <v>23</v>
      </c>
      <c r="F3" t="s">
        <v>24</v>
      </c>
      <c r="G3" t="s">
        <v>25</v>
      </c>
      <c r="H3">
        <v>2</v>
      </c>
      <c r="I3">
        <v>4500</v>
      </c>
      <c r="J3">
        <v>9000</v>
      </c>
      <c r="K3">
        <v>6200</v>
      </c>
      <c r="L3">
        <v>2800</v>
      </c>
      <c r="M3" t="s">
        <v>26</v>
      </c>
      <c r="N3" t="str">
        <f>TEXT(SalesData[Order_Date],"mmm-yyyy")</f>
        <v>Jan-2025</v>
      </c>
      <c r="O3" s="4">
        <f>IFERROR(SalesData[[#This Row],[Profit]]/SalesData[[#This Row],[Sales]],0)</f>
        <v>0.31111111111111112</v>
      </c>
      <c r="P3" s="1">
        <f>DATE(YEAR(SalesData[Order_Date]),MONTH(SalesData[Order_Date]),1)</f>
        <v>45658</v>
      </c>
    </row>
    <row r="4" spans="1:16" x14ac:dyDescent="0.25">
      <c r="A4" t="s">
        <v>27</v>
      </c>
      <c r="B4" s="1">
        <v>45666</v>
      </c>
      <c r="C4" t="s">
        <v>28</v>
      </c>
      <c r="D4" t="s">
        <v>15</v>
      </c>
      <c r="E4" t="s">
        <v>29</v>
      </c>
      <c r="F4" t="s">
        <v>30</v>
      </c>
      <c r="G4" t="s">
        <v>31</v>
      </c>
      <c r="H4">
        <v>5</v>
      </c>
      <c r="I4">
        <v>220</v>
      </c>
      <c r="J4">
        <v>1100</v>
      </c>
      <c r="K4">
        <v>700</v>
      </c>
      <c r="L4">
        <v>400</v>
      </c>
      <c r="M4" t="s">
        <v>32</v>
      </c>
      <c r="N4" t="str">
        <f>TEXT(SalesData[Order_Date],"mmm-yyyy")</f>
        <v>Jan-2025</v>
      </c>
      <c r="O4" s="4">
        <f>IFERROR(SalesData[[#This Row],[Profit]]/SalesData[[#This Row],[Sales]],0)</f>
        <v>0.36363636363636365</v>
      </c>
      <c r="P4" s="1">
        <f>DATE(YEAR(SalesData[Order_Date]),MONTH(SalesData[Order_Date]),1)</f>
        <v>45658</v>
      </c>
    </row>
    <row r="5" spans="1:16" x14ac:dyDescent="0.25">
      <c r="A5" t="s">
        <v>33</v>
      </c>
      <c r="B5" s="1">
        <v>45672</v>
      </c>
      <c r="C5" t="s">
        <v>34</v>
      </c>
      <c r="D5" t="s">
        <v>35</v>
      </c>
      <c r="E5" t="s">
        <v>16</v>
      </c>
      <c r="F5" t="s">
        <v>17</v>
      </c>
      <c r="G5" t="s">
        <v>36</v>
      </c>
      <c r="H5">
        <v>2</v>
      </c>
      <c r="I5">
        <v>1200</v>
      </c>
      <c r="J5">
        <v>2400</v>
      </c>
      <c r="K5">
        <v>1600</v>
      </c>
      <c r="L5">
        <v>800</v>
      </c>
      <c r="M5" t="s">
        <v>37</v>
      </c>
      <c r="N5" t="str">
        <f>TEXT(SalesData[Order_Date],"mmm-yyyy")</f>
        <v>Jan-2025</v>
      </c>
      <c r="O5" s="4">
        <f>IFERROR(SalesData[[#This Row],[Profit]]/SalesData[[#This Row],[Sales]],0)</f>
        <v>0.33333333333333331</v>
      </c>
      <c r="P5" s="1">
        <f>DATE(YEAR(SalesData[Order_Date]),MONTH(SalesData[Order_Date]),1)</f>
        <v>45658</v>
      </c>
    </row>
    <row r="6" spans="1:16" x14ac:dyDescent="0.25">
      <c r="A6" t="s">
        <v>38</v>
      </c>
      <c r="B6" s="1">
        <v>45677</v>
      </c>
      <c r="C6" t="s">
        <v>39</v>
      </c>
      <c r="D6" t="s">
        <v>22</v>
      </c>
      <c r="E6" t="s">
        <v>40</v>
      </c>
      <c r="F6" t="s">
        <v>24</v>
      </c>
      <c r="G6" t="s">
        <v>41</v>
      </c>
      <c r="H6">
        <v>1</v>
      </c>
      <c r="I6">
        <v>8500</v>
      </c>
      <c r="J6">
        <v>8500</v>
      </c>
      <c r="K6">
        <v>6900</v>
      </c>
      <c r="L6">
        <v>1600</v>
      </c>
      <c r="M6" t="s">
        <v>19</v>
      </c>
      <c r="N6" t="str">
        <f>TEXT(SalesData[Order_Date],"mmm-yyyy")</f>
        <v>Jan-2025</v>
      </c>
      <c r="O6" s="4">
        <f>IFERROR(SalesData[[#This Row],[Profit]]/SalesData[[#This Row],[Sales]],0)</f>
        <v>0.18823529411764706</v>
      </c>
      <c r="P6" s="1">
        <f>DATE(YEAR(SalesData[Order_Date]),MONTH(SalesData[Order_Date]),1)</f>
        <v>45658</v>
      </c>
    </row>
    <row r="7" spans="1:16" x14ac:dyDescent="0.25">
      <c r="A7" t="s">
        <v>42</v>
      </c>
      <c r="B7" s="1">
        <v>45690</v>
      </c>
      <c r="C7" t="s">
        <v>43</v>
      </c>
      <c r="D7" t="s">
        <v>15</v>
      </c>
      <c r="E7" t="s">
        <v>23</v>
      </c>
      <c r="F7" t="s">
        <v>30</v>
      </c>
      <c r="G7" t="s">
        <v>44</v>
      </c>
      <c r="H7">
        <v>10</v>
      </c>
      <c r="I7">
        <v>90</v>
      </c>
      <c r="J7">
        <v>900</v>
      </c>
      <c r="K7">
        <v>500</v>
      </c>
      <c r="L7">
        <v>400</v>
      </c>
      <c r="M7" t="s">
        <v>19</v>
      </c>
      <c r="N7" t="str">
        <f>TEXT(SalesData[Order_Date],"mmm-yyyy")</f>
        <v>Feb-2025</v>
      </c>
      <c r="O7" s="4">
        <f>IFERROR(SalesData[[#This Row],[Profit]]/SalesData[[#This Row],[Sales]],0)</f>
        <v>0.44444444444444442</v>
      </c>
      <c r="P7" s="1">
        <f>DATE(YEAR(SalesData[Order_Date]),MONTH(SalesData[Order_Date]),1)</f>
        <v>45689</v>
      </c>
    </row>
    <row r="8" spans="1:16" x14ac:dyDescent="0.25">
      <c r="A8" t="s">
        <v>45</v>
      </c>
      <c r="B8" s="1">
        <v>45695</v>
      </c>
      <c r="C8" t="s">
        <v>46</v>
      </c>
      <c r="D8" t="s">
        <v>22</v>
      </c>
      <c r="E8" t="s">
        <v>16</v>
      </c>
      <c r="F8" t="s">
        <v>17</v>
      </c>
      <c r="G8" t="s">
        <v>47</v>
      </c>
      <c r="H8">
        <v>2</v>
      </c>
      <c r="I8">
        <v>9500</v>
      </c>
      <c r="J8">
        <v>19000</v>
      </c>
      <c r="K8">
        <v>14500</v>
      </c>
      <c r="L8">
        <v>4500</v>
      </c>
      <c r="M8" t="s">
        <v>26</v>
      </c>
      <c r="N8" t="str">
        <f>TEXT(SalesData[Order_Date],"mmm-yyyy")</f>
        <v>Feb-2025</v>
      </c>
      <c r="O8" s="4">
        <f>IFERROR(SalesData[[#This Row],[Profit]]/SalesData[[#This Row],[Sales]],0)</f>
        <v>0.23684210526315788</v>
      </c>
      <c r="P8" s="1">
        <f>DATE(YEAR(SalesData[Order_Date]),MONTH(SalesData[Order_Date]),1)</f>
        <v>45689</v>
      </c>
    </row>
    <row r="9" spans="1:16" x14ac:dyDescent="0.25">
      <c r="A9" t="s">
        <v>48</v>
      </c>
      <c r="B9" s="1">
        <v>45699</v>
      </c>
      <c r="C9" t="s">
        <v>49</v>
      </c>
      <c r="D9" t="s">
        <v>35</v>
      </c>
      <c r="E9" t="s">
        <v>29</v>
      </c>
      <c r="F9" t="s">
        <v>24</v>
      </c>
      <c r="G9" t="s">
        <v>50</v>
      </c>
      <c r="H9">
        <v>1</v>
      </c>
      <c r="I9">
        <v>6200</v>
      </c>
      <c r="J9">
        <v>6200</v>
      </c>
      <c r="K9">
        <v>4500</v>
      </c>
      <c r="L9">
        <v>1700</v>
      </c>
      <c r="M9" t="s">
        <v>37</v>
      </c>
      <c r="N9" t="str">
        <f>TEXT(SalesData[Order_Date],"mmm-yyyy")</f>
        <v>Feb-2025</v>
      </c>
      <c r="O9" s="4">
        <f>IFERROR(SalesData[[#This Row],[Profit]]/SalesData[[#This Row],[Sales]],0)</f>
        <v>0.27419354838709675</v>
      </c>
      <c r="P9" s="1">
        <f>DATE(YEAR(SalesData[Order_Date]),MONTH(SalesData[Order_Date]),1)</f>
        <v>45689</v>
      </c>
    </row>
    <row r="10" spans="1:16" x14ac:dyDescent="0.25">
      <c r="A10" t="s">
        <v>51</v>
      </c>
      <c r="B10" s="1">
        <v>45706</v>
      </c>
      <c r="C10" t="s">
        <v>52</v>
      </c>
      <c r="D10" t="s">
        <v>15</v>
      </c>
      <c r="E10" t="s">
        <v>40</v>
      </c>
      <c r="F10" t="s">
        <v>17</v>
      </c>
      <c r="G10" t="s">
        <v>53</v>
      </c>
      <c r="H10">
        <v>4</v>
      </c>
      <c r="I10">
        <v>650</v>
      </c>
      <c r="J10">
        <v>2600</v>
      </c>
      <c r="K10">
        <v>1600</v>
      </c>
      <c r="L10">
        <v>1000</v>
      </c>
      <c r="M10" t="s">
        <v>19</v>
      </c>
      <c r="N10" t="str">
        <f>TEXT(SalesData[Order_Date],"mmm-yyyy")</f>
        <v>Feb-2025</v>
      </c>
      <c r="O10" s="4">
        <f>IFERROR(SalesData[[#This Row],[Profit]]/SalesData[[#This Row],[Sales]],0)</f>
        <v>0.38461538461538464</v>
      </c>
      <c r="P10" s="1">
        <f>DATE(YEAR(SalesData[Order_Date]),MONTH(SalesData[Order_Date]),1)</f>
        <v>45689</v>
      </c>
    </row>
    <row r="11" spans="1:16" x14ac:dyDescent="0.25">
      <c r="A11" t="s">
        <v>54</v>
      </c>
      <c r="B11" s="1">
        <v>45712</v>
      </c>
      <c r="C11" t="s">
        <v>55</v>
      </c>
      <c r="D11" t="s">
        <v>22</v>
      </c>
      <c r="E11" t="s">
        <v>23</v>
      </c>
      <c r="F11" t="s">
        <v>30</v>
      </c>
      <c r="G11" t="s">
        <v>56</v>
      </c>
      <c r="H11">
        <v>8</v>
      </c>
      <c r="I11">
        <v>350</v>
      </c>
      <c r="J11">
        <v>2800</v>
      </c>
      <c r="K11">
        <v>1900</v>
      </c>
      <c r="L11">
        <v>900</v>
      </c>
      <c r="M11" t="s">
        <v>32</v>
      </c>
      <c r="N11" t="str">
        <f>TEXT(SalesData[Order_Date],"mmm-yyyy")</f>
        <v>Feb-2025</v>
      </c>
      <c r="O11" s="4">
        <f>IFERROR(SalesData[[#This Row],[Profit]]/SalesData[[#This Row],[Sales]],0)</f>
        <v>0.32142857142857145</v>
      </c>
      <c r="P11" s="1">
        <f>DATE(YEAR(SalesData[Order_Date]),MONTH(SalesData[Order_Date]),1)</f>
        <v>45689</v>
      </c>
    </row>
    <row r="12" spans="1:16" x14ac:dyDescent="0.25">
      <c r="A12" t="s">
        <v>57</v>
      </c>
      <c r="B12" s="1">
        <v>45719</v>
      </c>
      <c r="C12" t="s">
        <v>58</v>
      </c>
      <c r="D12" t="s">
        <v>15</v>
      </c>
      <c r="E12" t="s">
        <v>16</v>
      </c>
      <c r="F12" t="s">
        <v>24</v>
      </c>
      <c r="G12" t="s">
        <v>25</v>
      </c>
      <c r="H12">
        <v>1</v>
      </c>
      <c r="I12">
        <v>4500</v>
      </c>
      <c r="J12">
        <v>4500</v>
      </c>
      <c r="K12">
        <v>3100</v>
      </c>
      <c r="L12">
        <v>1400</v>
      </c>
      <c r="M12" t="s">
        <v>26</v>
      </c>
      <c r="N12" t="str">
        <f>TEXT(SalesData[Order_Date],"mmm-yyyy")</f>
        <v>Mar-2025</v>
      </c>
      <c r="O12" s="4">
        <f>IFERROR(SalesData[[#This Row],[Profit]]/SalesData[[#This Row],[Sales]],0)</f>
        <v>0.31111111111111112</v>
      </c>
      <c r="P12" s="1">
        <f>DATE(YEAR(SalesData[Order_Date]),MONTH(SalesData[Order_Date]),1)</f>
        <v>45717</v>
      </c>
    </row>
    <row r="13" spans="1:16" x14ac:dyDescent="0.25">
      <c r="A13" t="s">
        <v>59</v>
      </c>
      <c r="B13" s="1">
        <v>45724</v>
      </c>
      <c r="C13" t="s">
        <v>60</v>
      </c>
      <c r="D13" t="s">
        <v>22</v>
      </c>
      <c r="E13" t="s">
        <v>29</v>
      </c>
      <c r="F13" t="s">
        <v>17</v>
      </c>
      <c r="G13" t="s">
        <v>61</v>
      </c>
      <c r="H13">
        <v>6</v>
      </c>
      <c r="I13">
        <v>999</v>
      </c>
      <c r="J13">
        <v>5994</v>
      </c>
      <c r="K13">
        <v>3900</v>
      </c>
      <c r="L13">
        <v>2094</v>
      </c>
      <c r="M13" t="s">
        <v>19</v>
      </c>
      <c r="N13" t="str">
        <f>TEXT(SalesData[Order_Date],"mmm-yyyy")</f>
        <v>Mar-2025</v>
      </c>
      <c r="O13" s="4">
        <f>IFERROR(SalesData[[#This Row],[Profit]]/SalesData[[#This Row],[Sales]],0)</f>
        <v>0.34934934934934936</v>
      </c>
      <c r="P13" s="1">
        <f>DATE(YEAR(SalesData[Order_Date]),MONTH(SalesData[Order_Date]),1)</f>
        <v>45717</v>
      </c>
    </row>
    <row r="14" spans="1:16" x14ac:dyDescent="0.25">
      <c r="A14" t="s">
        <v>62</v>
      </c>
      <c r="B14" s="1">
        <v>45729</v>
      </c>
      <c r="C14" t="s">
        <v>63</v>
      </c>
      <c r="D14" t="s">
        <v>35</v>
      </c>
      <c r="E14" t="s">
        <v>40</v>
      </c>
      <c r="F14" t="s">
        <v>30</v>
      </c>
      <c r="G14" t="s">
        <v>64</v>
      </c>
      <c r="H14">
        <v>3</v>
      </c>
      <c r="I14">
        <v>550</v>
      </c>
      <c r="J14">
        <v>1650</v>
      </c>
      <c r="K14">
        <v>950</v>
      </c>
      <c r="L14">
        <v>700</v>
      </c>
      <c r="M14" t="s">
        <v>37</v>
      </c>
      <c r="N14" t="str">
        <f>TEXT(SalesData[Order_Date],"mmm-yyyy")</f>
        <v>Mar-2025</v>
      </c>
      <c r="O14" s="4">
        <f>IFERROR(SalesData[[#This Row],[Profit]]/SalesData[[#This Row],[Sales]],0)</f>
        <v>0.42424242424242425</v>
      </c>
      <c r="P14" s="1">
        <f>DATE(YEAR(SalesData[Order_Date]),MONTH(SalesData[Order_Date]),1)</f>
        <v>45717</v>
      </c>
    </row>
    <row r="15" spans="1:16" x14ac:dyDescent="0.25">
      <c r="A15" t="s">
        <v>65</v>
      </c>
      <c r="B15" s="1">
        <v>45735</v>
      </c>
      <c r="C15" t="s">
        <v>66</v>
      </c>
      <c r="D15" t="s">
        <v>15</v>
      </c>
      <c r="E15" t="s">
        <v>23</v>
      </c>
      <c r="F15" t="s">
        <v>17</v>
      </c>
      <c r="G15" t="s">
        <v>67</v>
      </c>
      <c r="H15">
        <v>2</v>
      </c>
      <c r="I15">
        <v>2600</v>
      </c>
      <c r="J15">
        <v>5200</v>
      </c>
      <c r="K15">
        <v>3600</v>
      </c>
      <c r="L15">
        <v>1600</v>
      </c>
      <c r="M15" t="s">
        <v>26</v>
      </c>
      <c r="N15" t="str">
        <f>TEXT(SalesData[Order_Date],"mmm-yyyy")</f>
        <v>Mar-2025</v>
      </c>
      <c r="O15" s="4">
        <f>IFERROR(SalesData[[#This Row],[Profit]]/SalesData[[#This Row],[Sales]],0)</f>
        <v>0.30769230769230771</v>
      </c>
      <c r="P15" s="1">
        <f>DATE(YEAR(SalesData[Order_Date]),MONTH(SalesData[Order_Date]),1)</f>
        <v>45717</v>
      </c>
    </row>
    <row r="16" spans="1:16" x14ac:dyDescent="0.25">
      <c r="A16" t="s">
        <v>68</v>
      </c>
      <c r="B16" s="1">
        <v>45741</v>
      </c>
      <c r="C16" t="s">
        <v>69</v>
      </c>
      <c r="D16" t="s">
        <v>22</v>
      </c>
      <c r="E16" t="s">
        <v>16</v>
      </c>
      <c r="F16" t="s">
        <v>24</v>
      </c>
      <c r="G16" t="s">
        <v>70</v>
      </c>
      <c r="H16">
        <v>1</v>
      </c>
      <c r="I16">
        <v>18000</v>
      </c>
      <c r="J16">
        <v>18000</v>
      </c>
      <c r="K16">
        <v>14200</v>
      </c>
      <c r="L16">
        <v>3800</v>
      </c>
      <c r="M16" t="s">
        <v>71</v>
      </c>
      <c r="N16" t="str">
        <f>TEXT(SalesData[Order_Date],"mmm-yyyy")</f>
        <v>Mar-2025</v>
      </c>
      <c r="O16" s="4">
        <f>IFERROR(SalesData[[#This Row],[Profit]]/SalesData[[#This Row],[Sales]],0)</f>
        <v>0.21111111111111111</v>
      </c>
      <c r="P16" s="1">
        <f>DATE(YEAR(SalesData[Order_Date]),MONTH(SalesData[Order_Date]),1)</f>
        <v>45717</v>
      </c>
    </row>
    <row r="17" spans="1:16" x14ac:dyDescent="0.25">
      <c r="A17" t="s">
        <v>72</v>
      </c>
      <c r="B17" s="1">
        <v>45751</v>
      </c>
      <c r="C17" t="s">
        <v>73</v>
      </c>
      <c r="D17" t="s">
        <v>15</v>
      </c>
      <c r="E17" t="s">
        <v>29</v>
      </c>
      <c r="F17" t="s">
        <v>30</v>
      </c>
      <c r="G17" t="s">
        <v>74</v>
      </c>
      <c r="H17">
        <v>4</v>
      </c>
      <c r="I17">
        <v>180</v>
      </c>
      <c r="J17">
        <v>720</v>
      </c>
      <c r="K17">
        <v>420</v>
      </c>
      <c r="L17">
        <v>300</v>
      </c>
      <c r="M17" t="s">
        <v>32</v>
      </c>
      <c r="N17" t="str">
        <f>TEXT(SalesData[Order_Date],"mmm-yyyy")</f>
        <v>Apr-2025</v>
      </c>
      <c r="O17" s="4">
        <f>IFERROR(SalesData[[#This Row],[Profit]]/SalesData[[#This Row],[Sales]],0)</f>
        <v>0.41666666666666669</v>
      </c>
      <c r="P17" s="1">
        <f>DATE(YEAR(SalesData[Order_Date]),MONTH(SalesData[Order_Date]),1)</f>
        <v>45748</v>
      </c>
    </row>
    <row r="18" spans="1:16" x14ac:dyDescent="0.25">
      <c r="A18" t="s">
        <v>75</v>
      </c>
      <c r="B18" s="1">
        <v>45756</v>
      </c>
      <c r="C18" t="s">
        <v>76</v>
      </c>
      <c r="D18" t="s">
        <v>22</v>
      </c>
      <c r="E18" t="s">
        <v>40</v>
      </c>
      <c r="F18" t="s">
        <v>17</v>
      </c>
      <c r="G18" t="s">
        <v>77</v>
      </c>
      <c r="H18">
        <v>5</v>
      </c>
      <c r="I18">
        <v>1800</v>
      </c>
      <c r="J18">
        <v>9000</v>
      </c>
      <c r="K18">
        <v>6100</v>
      </c>
      <c r="L18">
        <v>2900</v>
      </c>
      <c r="M18" t="s">
        <v>19</v>
      </c>
      <c r="N18" t="str">
        <f>TEXT(SalesData[Order_Date],"mmm-yyyy")</f>
        <v>Apr-2025</v>
      </c>
      <c r="O18" s="4">
        <f>IFERROR(SalesData[[#This Row],[Profit]]/SalesData[[#This Row],[Sales]],0)</f>
        <v>0.32222222222222224</v>
      </c>
      <c r="P18" s="1">
        <f>DATE(YEAR(SalesData[Order_Date]),MONTH(SalesData[Order_Date]),1)</f>
        <v>45748</v>
      </c>
    </row>
    <row r="19" spans="1:16" x14ac:dyDescent="0.25">
      <c r="A19" t="s">
        <v>78</v>
      </c>
      <c r="B19" s="1">
        <v>45763</v>
      </c>
      <c r="C19" t="s">
        <v>79</v>
      </c>
      <c r="D19" t="s">
        <v>35</v>
      </c>
      <c r="E19" t="s">
        <v>16</v>
      </c>
      <c r="F19" t="s">
        <v>24</v>
      </c>
      <c r="G19" t="s">
        <v>80</v>
      </c>
      <c r="H19">
        <v>1</v>
      </c>
      <c r="I19">
        <v>7200</v>
      </c>
      <c r="J19">
        <v>7200</v>
      </c>
      <c r="K19">
        <v>5300</v>
      </c>
      <c r="L19">
        <v>1900</v>
      </c>
      <c r="M19" t="s">
        <v>26</v>
      </c>
      <c r="N19" t="str">
        <f>TEXT(SalesData[Order_Date],"mmm-yyyy")</f>
        <v>Apr-2025</v>
      </c>
      <c r="O19" s="4">
        <f>IFERROR(SalesData[[#This Row],[Profit]]/SalesData[[#This Row],[Sales]],0)</f>
        <v>0.2638888888888889</v>
      </c>
      <c r="P19" s="1">
        <f>DATE(YEAR(SalesData[Order_Date]),MONTH(SalesData[Order_Date]),1)</f>
        <v>45748</v>
      </c>
    </row>
    <row r="20" spans="1:16" x14ac:dyDescent="0.25">
      <c r="A20" t="s">
        <v>81</v>
      </c>
      <c r="B20" s="1">
        <v>45768</v>
      </c>
      <c r="C20" t="s">
        <v>82</v>
      </c>
      <c r="D20" t="s">
        <v>15</v>
      </c>
      <c r="E20" t="s">
        <v>23</v>
      </c>
      <c r="F20" t="s">
        <v>17</v>
      </c>
      <c r="G20" t="s">
        <v>83</v>
      </c>
      <c r="H20">
        <v>2</v>
      </c>
      <c r="I20">
        <v>5200</v>
      </c>
      <c r="J20">
        <v>10400</v>
      </c>
      <c r="K20">
        <v>7600</v>
      </c>
      <c r="L20">
        <v>2800</v>
      </c>
      <c r="M20" t="s">
        <v>37</v>
      </c>
      <c r="N20" t="str">
        <f>TEXT(SalesData[Order_Date],"mmm-yyyy")</f>
        <v>Apr-2025</v>
      </c>
      <c r="O20" s="4">
        <f>IFERROR(SalesData[[#This Row],[Profit]]/SalesData[[#This Row],[Sales]],0)</f>
        <v>0.26923076923076922</v>
      </c>
      <c r="P20" s="1">
        <f>DATE(YEAR(SalesData[Order_Date]),MONTH(SalesData[Order_Date]),1)</f>
        <v>45748</v>
      </c>
    </row>
    <row r="21" spans="1:16" x14ac:dyDescent="0.25">
      <c r="A21" t="s">
        <v>84</v>
      </c>
      <c r="B21" s="1">
        <v>45774</v>
      </c>
      <c r="C21" t="s">
        <v>85</v>
      </c>
      <c r="D21" t="s">
        <v>22</v>
      </c>
      <c r="E21" t="s">
        <v>29</v>
      </c>
      <c r="F21" t="s">
        <v>30</v>
      </c>
      <c r="G21" t="s">
        <v>86</v>
      </c>
      <c r="H21">
        <v>12</v>
      </c>
      <c r="I21">
        <v>75</v>
      </c>
      <c r="J21">
        <v>900</v>
      </c>
      <c r="K21">
        <v>480</v>
      </c>
      <c r="L21">
        <v>420</v>
      </c>
      <c r="M21" t="s">
        <v>19</v>
      </c>
      <c r="N21" t="str">
        <f>TEXT(SalesData[Order_Date],"mmm-yyyy")</f>
        <v>Apr-2025</v>
      </c>
      <c r="O21" s="4">
        <f>IFERROR(SalesData[[#This Row],[Profit]]/SalesData[[#This Row],[Sales]],0)</f>
        <v>0.46666666666666667</v>
      </c>
      <c r="P21" s="1">
        <f>DATE(YEAR(SalesData[Order_Date]),MONTH(SalesData[Order_Date]),1)</f>
        <v>45748</v>
      </c>
    </row>
    <row r="22" spans="1:16" x14ac:dyDescent="0.25">
      <c r="A22" t="s">
        <v>87</v>
      </c>
      <c r="B22" s="1">
        <v>45779</v>
      </c>
      <c r="C22" t="s">
        <v>88</v>
      </c>
      <c r="D22" t="s">
        <v>15</v>
      </c>
      <c r="E22" t="s">
        <v>16</v>
      </c>
      <c r="F22" t="s">
        <v>17</v>
      </c>
      <c r="G22" t="s">
        <v>18</v>
      </c>
      <c r="H22">
        <v>4</v>
      </c>
      <c r="I22">
        <v>799</v>
      </c>
      <c r="J22">
        <v>3196</v>
      </c>
      <c r="K22">
        <v>2000</v>
      </c>
      <c r="L22">
        <v>1196</v>
      </c>
      <c r="M22" t="s">
        <v>19</v>
      </c>
      <c r="N22" t="str">
        <f>TEXT(SalesData[Order_Date],"mmm-yyyy")</f>
        <v>May-2025</v>
      </c>
      <c r="O22" s="4">
        <f>IFERROR(SalesData[[#This Row],[Profit]]/SalesData[[#This Row],[Sales]],0)</f>
        <v>0.37421777221526908</v>
      </c>
      <c r="P22" s="1">
        <f>DATE(YEAR(SalesData[Order_Date]),MONTH(SalesData[Order_Date]),1)</f>
        <v>45778</v>
      </c>
    </row>
    <row r="23" spans="1:16" x14ac:dyDescent="0.25">
      <c r="A23" t="s">
        <v>89</v>
      </c>
      <c r="B23" s="1">
        <v>45784</v>
      </c>
      <c r="C23" t="s">
        <v>90</v>
      </c>
      <c r="D23" t="s">
        <v>22</v>
      </c>
      <c r="E23" t="s">
        <v>23</v>
      </c>
      <c r="F23" t="s">
        <v>24</v>
      </c>
      <c r="G23" t="s">
        <v>91</v>
      </c>
      <c r="H23">
        <v>2</v>
      </c>
      <c r="I23">
        <v>5600</v>
      </c>
      <c r="J23">
        <v>11200</v>
      </c>
      <c r="K23">
        <v>8200</v>
      </c>
      <c r="L23">
        <v>3000</v>
      </c>
      <c r="M23" t="s">
        <v>71</v>
      </c>
      <c r="N23" t="str">
        <f>TEXT(SalesData[Order_Date],"mmm-yyyy")</f>
        <v>May-2025</v>
      </c>
      <c r="O23" s="4">
        <f>IFERROR(SalesData[[#This Row],[Profit]]/SalesData[[#This Row],[Sales]],0)</f>
        <v>0.26785714285714285</v>
      </c>
      <c r="P23" s="1">
        <f>DATE(YEAR(SalesData[Order_Date]),MONTH(SalesData[Order_Date]),1)</f>
        <v>45778</v>
      </c>
    </row>
    <row r="24" spans="1:16" x14ac:dyDescent="0.25">
      <c r="A24" t="s">
        <v>92</v>
      </c>
      <c r="B24" s="1">
        <v>45788</v>
      </c>
      <c r="C24" t="s">
        <v>93</v>
      </c>
      <c r="D24" t="s">
        <v>35</v>
      </c>
      <c r="E24" t="s">
        <v>40</v>
      </c>
      <c r="F24" t="s">
        <v>30</v>
      </c>
      <c r="G24" t="s">
        <v>31</v>
      </c>
      <c r="H24">
        <v>7</v>
      </c>
      <c r="I24">
        <v>220</v>
      </c>
      <c r="J24">
        <v>1540</v>
      </c>
      <c r="K24">
        <v>980</v>
      </c>
      <c r="L24">
        <v>560</v>
      </c>
      <c r="M24" t="s">
        <v>32</v>
      </c>
      <c r="N24" t="str">
        <f>TEXT(SalesData[Order_Date],"mmm-yyyy")</f>
        <v>May-2025</v>
      </c>
      <c r="O24" s="4">
        <f>IFERROR(SalesData[[#This Row],[Profit]]/SalesData[[#This Row],[Sales]],0)</f>
        <v>0.36363636363636365</v>
      </c>
      <c r="P24" s="1">
        <f>DATE(YEAR(SalesData[Order_Date]),MONTH(SalesData[Order_Date]),1)</f>
        <v>45778</v>
      </c>
    </row>
    <row r="25" spans="1:16" x14ac:dyDescent="0.25">
      <c r="A25" t="s">
        <v>94</v>
      </c>
      <c r="B25" s="1">
        <v>45794</v>
      </c>
      <c r="C25" t="s">
        <v>95</v>
      </c>
      <c r="D25" t="s">
        <v>15</v>
      </c>
      <c r="E25" t="s">
        <v>29</v>
      </c>
      <c r="F25" t="s">
        <v>17</v>
      </c>
      <c r="G25" t="s">
        <v>36</v>
      </c>
      <c r="H25">
        <v>3</v>
      </c>
      <c r="I25">
        <v>1200</v>
      </c>
      <c r="J25">
        <v>3600</v>
      </c>
      <c r="K25">
        <v>2400</v>
      </c>
      <c r="L25">
        <v>1200</v>
      </c>
      <c r="M25" t="s">
        <v>37</v>
      </c>
      <c r="N25" t="str">
        <f>TEXT(SalesData[Order_Date],"mmm-yyyy")</f>
        <v>May-2025</v>
      </c>
      <c r="O25" s="4">
        <f>IFERROR(SalesData[[#This Row],[Profit]]/SalesData[[#This Row],[Sales]],0)</f>
        <v>0.33333333333333331</v>
      </c>
      <c r="P25" s="1">
        <f>DATE(YEAR(SalesData[Order_Date]),MONTH(SalesData[Order_Date]),1)</f>
        <v>45778</v>
      </c>
    </row>
    <row r="26" spans="1:16" x14ac:dyDescent="0.25">
      <c r="A26" t="s">
        <v>96</v>
      </c>
      <c r="B26" s="1">
        <v>45800</v>
      </c>
      <c r="C26" t="s">
        <v>97</v>
      </c>
      <c r="D26" t="s">
        <v>22</v>
      </c>
      <c r="E26" t="s">
        <v>16</v>
      </c>
      <c r="F26" t="s">
        <v>17</v>
      </c>
      <c r="G26" t="s">
        <v>47</v>
      </c>
      <c r="H26">
        <v>1</v>
      </c>
      <c r="I26">
        <v>9500</v>
      </c>
      <c r="J26">
        <v>9500</v>
      </c>
      <c r="K26">
        <v>7250</v>
      </c>
      <c r="L26">
        <v>2250</v>
      </c>
      <c r="M26" t="s">
        <v>26</v>
      </c>
      <c r="N26" t="str">
        <f>TEXT(SalesData[Order_Date],"mmm-yyyy")</f>
        <v>May-2025</v>
      </c>
      <c r="O26" s="4">
        <f>IFERROR(SalesData[[#This Row],[Profit]]/SalesData[[#This Row],[Sales]],0)</f>
        <v>0.23684210526315788</v>
      </c>
      <c r="P26" s="1">
        <f>DATE(YEAR(SalesData[Order_Date]),MONTH(SalesData[Order_Date]),1)</f>
        <v>45778</v>
      </c>
    </row>
    <row r="27" spans="1:16" x14ac:dyDescent="0.25">
      <c r="A27" t="s">
        <v>98</v>
      </c>
      <c r="B27" s="1">
        <v>45809</v>
      </c>
      <c r="C27" t="s">
        <v>99</v>
      </c>
      <c r="D27" t="s">
        <v>15</v>
      </c>
      <c r="E27" t="s">
        <v>40</v>
      </c>
      <c r="F27" t="s">
        <v>30</v>
      </c>
      <c r="G27" t="s">
        <v>44</v>
      </c>
      <c r="H27">
        <v>15</v>
      </c>
      <c r="I27">
        <v>90</v>
      </c>
      <c r="J27">
        <v>1350</v>
      </c>
      <c r="K27">
        <v>750</v>
      </c>
      <c r="L27">
        <v>600</v>
      </c>
      <c r="M27" t="s">
        <v>19</v>
      </c>
      <c r="N27" t="str">
        <f>TEXT(SalesData[Order_Date],"mmm-yyyy")</f>
        <v>Jun-2025</v>
      </c>
      <c r="O27" s="4">
        <f>IFERROR(SalesData[[#This Row],[Profit]]/SalesData[[#This Row],[Sales]],0)</f>
        <v>0.44444444444444442</v>
      </c>
      <c r="P27" s="1">
        <f>DATE(YEAR(SalesData[Order_Date]),MONTH(SalesData[Order_Date]),1)</f>
        <v>45809</v>
      </c>
    </row>
    <row r="28" spans="1:16" x14ac:dyDescent="0.25">
      <c r="A28" t="s">
        <v>100</v>
      </c>
      <c r="B28" s="1">
        <v>45813</v>
      </c>
      <c r="C28" t="s">
        <v>101</v>
      </c>
      <c r="D28" t="s">
        <v>22</v>
      </c>
      <c r="E28" t="s">
        <v>29</v>
      </c>
      <c r="F28" t="s">
        <v>24</v>
      </c>
      <c r="G28" t="s">
        <v>41</v>
      </c>
      <c r="H28">
        <v>2</v>
      </c>
      <c r="I28">
        <v>8500</v>
      </c>
      <c r="J28">
        <v>17000</v>
      </c>
      <c r="K28">
        <v>13800</v>
      </c>
      <c r="L28">
        <v>3200</v>
      </c>
      <c r="M28" t="s">
        <v>71</v>
      </c>
      <c r="N28" t="str">
        <f>TEXT(SalesData[Order_Date],"mmm-yyyy")</f>
        <v>Jun-2025</v>
      </c>
      <c r="O28" s="4">
        <f>IFERROR(SalesData[[#This Row],[Profit]]/SalesData[[#This Row],[Sales]],0)</f>
        <v>0.18823529411764706</v>
      </c>
      <c r="P28" s="1">
        <f>DATE(YEAR(SalesData[Order_Date]),MONTH(SalesData[Order_Date]),1)</f>
        <v>45809</v>
      </c>
    </row>
    <row r="29" spans="1:16" x14ac:dyDescent="0.25">
      <c r="A29" t="s">
        <v>102</v>
      </c>
      <c r="B29" s="1">
        <v>45820</v>
      </c>
      <c r="C29" t="s">
        <v>103</v>
      </c>
      <c r="D29" t="s">
        <v>35</v>
      </c>
      <c r="E29" t="s">
        <v>23</v>
      </c>
      <c r="F29" t="s">
        <v>17</v>
      </c>
      <c r="G29" t="s">
        <v>53</v>
      </c>
      <c r="H29">
        <v>5</v>
      </c>
      <c r="I29">
        <v>650</v>
      </c>
      <c r="J29">
        <v>3250</v>
      </c>
      <c r="K29">
        <v>2000</v>
      </c>
      <c r="L29">
        <v>1250</v>
      </c>
      <c r="M29" t="s">
        <v>19</v>
      </c>
      <c r="N29" t="str">
        <f>TEXT(SalesData[Order_Date],"mmm-yyyy")</f>
        <v>Jun-2025</v>
      </c>
      <c r="O29" s="4">
        <f>IFERROR(SalesData[[#This Row],[Profit]]/SalesData[[#This Row],[Sales]],0)</f>
        <v>0.38461538461538464</v>
      </c>
      <c r="P29" s="1">
        <f>DATE(YEAR(SalesData[Order_Date]),MONTH(SalesData[Order_Date]),1)</f>
        <v>45809</v>
      </c>
    </row>
    <row r="30" spans="1:16" x14ac:dyDescent="0.25">
      <c r="A30" t="s">
        <v>104</v>
      </c>
      <c r="B30" s="1">
        <v>45826</v>
      </c>
      <c r="C30" t="s">
        <v>105</v>
      </c>
      <c r="D30" t="s">
        <v>15</v>
      </c>
      <c r="E30" t="s">
        <v>16</v>
      </c>
      <c r="F30" t="s">
        <v>24</v>
      </c>
      <c r="G30" t="s">
        <v>50</v>
      </c>
      <c r="H30">
        <v>1</v>
      </c>
      <c r="I30">
        <v>6200</v>
      </c>
      <c r="J30">
        <v>6200</v>
      </c>
      <c r="K30">
        <v>4500</v>
      </c>
      <c r="L30">
        <v>1700</v>
      </c>
      <c r="M30" t="s">
        <v>26</v>
      </c>
      <c r="N30" t="str">
        <f>TEXT(SalesData[Order_Date],"mmm-yyyy")</f>
        <v>Jun-2025</v>
      </c>
      <c r="O30" s="4">
        <f>IFERROR(SalesData[[#This Row],[Profit]]/SalesData[[#This Row],[Sales]],0)</f>
        <v>0.27419354838709675</v>
      </c>
      <c r="P30" s="1">
        <f>DATE(YEAR(SalesData[Order_Date]),MONTH(SalesData[Order_Date]),1)</f>
        <v>45809</v>
      </c>
    </row>
    <row r="31" spans="1:16" x14ac:dyDescent="0.25">
      <c r="A31" t="s">
        <v>106</v>
      </c>
      <c r="B31" s="1">
        <v>45833</v>
      </c>
      <c r="C31" t="s">
        <v>107</v>
      </c>
      <c r="D31" t="s">
        <v>22</v>
      </c>
      <c r="E31" t="s">
        <v>40</v>
      </c>
      <c r="F31" t="s">
        <v>30</v>
      </c>
      <c r="G31" t="s">
        <v>56</v>
      </c>
      <c r="H31">
        <v>10</v>
      </c>
      <c r="I31">
        <v>350</v>
      </c>
      <c r="J31">
        <v>3500</v>
      </c>
      <c r="K31">
        <v>2375</v>
      </c>
      <c r="L31">
        <v>1125</v>
      </c>
      <c r="M31" t="s">
        <v>37</v>
      </c>
      <c r="N31" t="str">
        <f>TEXT(SalesData[Order_Date],"mmm-yyyy")</f>
        <v>Jun-2025</v>
      </c>
      <c r="O31" s="4">
        <f>IFERROR(SalesData[[#This Row],[Profit]]/SalesData[[#This Row],[Sales]],0)</f>
        <v>0.32142857142857145</v>
      </c>
      <c r="P31" s="1">
        <f>DATE(YEAR(SalesData[Order_Date]),MONTH(SalesData[Order_Date]),1)</f>
        <v>45809</v>
      </c>
    </row>
    <row r="32" spans="1:16" x14ac:dyDescent="0.25">
      <c r="A32" t="s">
        <v>108</v>
      </c>
      <c r="B32" s="1">
        <v>45841</v>
      </c>
      <c r="C32" t="s">
        <v>109</v>
      </c>
      <c r="D32" t="s">
        <v>15</v>
      </c>
      <c r="E32" t="s">
        <v>23</v>
      </c>
      <c r="F32" t="s">
        <v>17</v>
      </c>
      <c r="G32" t="s">
        <v>61</v>
      </c>
      <c r="H32">
        <v>4</v>
      </c>
      <c r="I32">
        <v>999</v>
      </c>
      <c r="J32">
        <v>3996</v>
      </c>
      <c r="K32">
        <v>2600</v>
      </c>
      <c r="L32">
        <v>1396</v>
      </c>
      <c r="M32" t="s">
        <v>19</v>
      </c>
      <c r="N32" t="str">
        <f>TEXT(SalesData[Order_Date],"mmm-yyyy")</f>
        <v>Jul-2025</v>
      </c>
      <c r="O32" s="4">
        <f>IFERROR(SalesData[[#This Row],[Profit]]/SalesData[[#This Row],[Sales]],0)</f>
        <v>0.34934934934934936</v>
      </c>
      <c r="P32" s="1">
        <f>DATE(YEAR(SalesData[Order_Date]),MONTH(SalesData[Order_Date]),1)</f>
        <v>45839</v>
      </c>
    </row>
    <row r="33" spans="1:16" x14ac:dyDescent="0.25">
      <c r="A33" t="s">
        <v>110</v>
      </c>
      <c r="B33" s="1">
        <v>45846</v>
      </c>
      <c r="C33" t="s">
        <v>111</v>
      </c>
      <c r="D33" t="s">
        <v>22</v>
      </c>
      <c r="E33" t="s">
        <v>16</v>
      </c>
      <c r="F33" t="s">
        <v>24</v>
      </c>
      <c r="G33" t="s">
        <v>25</v>
      </c>
      <c r="H33">
        <v>3</v>
      </c>
      <c r="I33">
        <v>4500</v>
      </c>
      <c r="J33">
        <v>13500</v>
      </c>
      <c r="K33">
        <v>9300</v>
      </c>
      <c r="L33">
        <v>4200</v>
      </c>
      <c r="M33" t="s">
        <v>26</v>
      </c>
      <c r="N33" t="str">
        <f>TEXT(SalesData[Order_Date],"mmm-yyyy")</f>
        <v>Jul-2025</v>
      </c>
      <c r="O33" s="4">
        <f>IFERROR(SalesData[[#This Row],[Profit]]/SalesData[[#This Row],[Sales]],0)</f>
        <v>0.31111111111111112</v>
      </c>
      <c r="P33" s="1">
        <f>DATE(YEAR(SalesData[Order_Date]),MONTH(SalesData[Order_Date]),1)</f>
        <v>45839</v>
      </c>
    </row>
    <row r="34" spans="1:16" x14ac:dyDescent="0.25">
      <c r="A34" t="s">
        <v>112</v>
      </c>
      <c r="B34" s="1">
        <v>45852</v>
      </c>
      <c r="C34" t="s">
        <v>113</v>
      </c>
      <c r="D34" t="s">
        <v>35</v>
      </c>
      <c r="E34" t="s">
        <v>29</v>
      </c>
      <c r="F34" t="s">
        <v>30</v>
      </c>
      <c r="G34" t="s">
        <v>64</v>
      </c>
      <c r="H34">
        <v>6</v>
      </c>
      <c r="I34">
        <v>550</v>
      </c>
      <c r="J34">
        <v>3300</v>
      </c>
      <c r="K34">
        <v>1900</v>
      </c>
      <c r="L34">
        <v>1400</v>
      </c>
      <c r="M34" t="s">
        <v>32</v>
      </c>
      <c r="N34" t="str">
        <f>TEXT(SalesData[Order_Date],"mmm-yyyy")</f>
        <v>Jul-2025</v>
      </c>
      <c r="O34" s="4">
        <f>IFERROR(SalesData[[#This Row],[Profit]]/SalesData[[#This Row],[Sales]],0)</f>
        <v>0.42424242424242425</v>
      </c>
      <c r="P34" s="1">
        <f>DATE(YEAR(SalesData[Order_Date]),MONTH(SalesData[Order_Date]),1)</f>
        <v>45839</v>
      </c>
    </row>
    <row r="35" spans="1:16" x14ac:dyDescent="0.25">
      <c r="A35" t="s">
        <v>114</v>
      </c>
      <c r="B35" s="1">
        <v>45858</v>
      </c>
      <c r="C35" t="s">
        <v>115</v>
      </c>
      <c r="D35" t="s">
        <v>15</v>
      </c>
      <c r="E35" t="s">
        <v>40</v>
      </c>
      <c r="F35" t="s">
        <v>17</v>
      </c>
      <c r="G35" t="s">
        <v>67</v>
      </c>
      <c r="H35">
        <v>1</v>
      </c>
      <c r="I35">
        <v>2600</v>
      </c>
      <c r="J35">
        <v>2600</v>
      </c>
      <c r="K35">
        <v>1800</v>
      </c>
      <c r="L35">
        <v>800</v>
      </c>
      <c r="M35" t="s">
        <v>37</v>
      </c>
      <c r="N35" t="str">
        <f>TEXT(SalesData[Order_Date],"mmm-yyyy")</f>
        <v>Jul-2025</v>
      </c>
      <c r="O35" s="4">
        <f>IFERROR(SalesData[[#This Row],[Profit]]/SalesData[[#This Row],[Sales]],0)</f>
        <v>0.30769230769230771</v>
      </c>
      <c r="P35" s="1">
        <f>DATE(YEAR(SalesData[Order_Date]),MONTH(SalesData[Order_Date]),1)</f>
        <v>45839</v>
      </c>
    </row>
    <row r="36" spans="1:16" x14ac:dyDescent="0.25">
      <c r="A36" t="s">
        <v>116</v>
      </c>
      <c r="B36" s="1">
        <v>45866</v>
      </c>
      <c r="C36" t="s">
        <v>117</v>
      </c>
      <c r="D36" t="s">
        <v>22</v>
      </c>
      <c r="E36" t="s">
        <v>23</v>
      </c>
      <c r="F36" t="s">
        <v>17</v>
      </c>
      <c r="G36" t="s">
        <v>77</v>
      </c>
      <c r="H36">
        <v>4</v>
      </c>
      <c r="I36">
        <v>1800</v>
      </c>
      <c r="J36">
        <v>7200</v>
      </c>
      <c r="K36">
        <v>4880</v>
      </c>
      <c r="L36">
        <v>2320</v>
      </c>
      <c r="M36" t="s">
        <v>19</v>
      </c>
      <c r="N36" t="str">
        <f>TEXT(SalesData[Order_Date],"mmm-yyyy")</f>
        <v>Jul-2025</v>
      </c>
      <c r="O36" s="4">
        <f>IFERROR(SalesData[[#This Row],[Profit]]/SalesData[[#This Row],[Sales]],0)</f>
        <v>0.32222222222222224</v>
      </c>
      <c r="P36" s="1">
        <f>DATE(YEAR(SalesData[Order_Date]),MONTH(SalesData[Order_Date]),1)</f>
        <v>45839</v>
      </c>
    </row>
    <row r="37" spans="1:16" x14ac:dyDescent="0.25">
      <c r="A37" t="s">
        <v>118</v>
      </c>
      <c r="B37" s="1">
        <v>45873</v>
      </c>
      <c r="C37" t="s">
        <v>119</v>
      </c>
      <c r="D37" t="s">
        <v>15</v>
      </c>
      <c r="E37" t="s">
        <v>29</v>
      </c>
      <c r="F37" t="s">
        <v>24</v>
      </c>
      <c r="G37" t="s">
        <v>80</v>
      </c>
      <c r="H37">
        <v>1</v>
      </c>
      <c r="I37">
        <v>7200</v>
      </c>
      <c r="J37">
        <v>7200</v>
      </c>
      <c r="K37">
        <v>5300</v>
      </c>
      <c r="L37">
        <v>1900</v>
      </c>
      <c r="M37" t="s">
        <v>26</v>
      </c>
      <c r="N37" t="str">
        <f>TEXT(SalesData[Order_Date],"mmm-yyyy")</f>
        <v>Aug-2025</v>
      </c>
      <c r="O37" s="4">
        <f>IFERROR(SalesData[[#This Row],[Profit]]/SalesData[[#This Row],[Sales]],0)</f>
        <v>0.2638888888888889</v>
      </c>
      <c r="P37" s="1">
        <f>DATE(YEAR(SalesData[Order_Date]),MONTH(SalesData[Order_Date]),1)</f>
        <v>45870</v>
      </c>
    </row>
    <row r="38" spans="1:16" x14ac:dyDescent="0.25">
      <c r="A38" t="s">
        <v>120</v>
      </c>
      <c r="B38" s="1">
        <v>45879</v>
      </c>
      <c r="C38" t="s">
        <v>121</v>
      </c>
      <c r="D38" t="s">
        <v>22</v>
      </c>
      <c r="E38" t="s">
        <v>16</v>
      </c>
      <c r="F38" t="s">
        <v>17</v>
      </c>
      <c r="G38" t="s">
        <v>83</v>
      </c>
      <c r="H38">
        <v>3</v>
      </c>
      <c r="I38">
        <v>5200</v>
      </c>
      <c r="J38">
        <v>15600</v>
      </c>
      <c r="K38">
        <v>11400</v>
      </c>
      <c r="L38">
        <v>4200</v>
      </c>
      <c r="M38" t="s">
        <v>71</v>
      </c>
      <c r="N38" t="str">
        <f>TEXT(SalesData[Order_Date],"mmm-yyyy")</f>
        <v>Aug-2025</v>
      </c>
      <c r="O38" s="4">
        <f>IFERROR(SalesData[[#This Row],[Profit]]/SalesData[[#This Row],[Sales]],0)</f>
        <v>0.26923076923076922</v>
      </c>
      <c r="P38" s="1">
        <f>DATE(YEAR(SalesData[Order_Date]),MONTH(SalesData[Order_Date]),1)</f>
        <v>45870</v>
      </c>
    </row>
    <row r="39" spans="1:16" x14ac:dyDescent="0.25">
      <c r="A39" t="s">
        <v>122</v>
      </c>
      <c r="B39" s="1">
        <v>45884</v>
      </c>
      <c r="C39" t="s">
        <v>123</v>
      </c>
      <c r="D39" t="s">
        <v>35</v>
      </c>
      <c r="E39" t="s">
        <v>40</v>
      </c>
      <c r="F39" t="s">
        <v>30</v>
      </c>
      <c r="G39" t="s">
        <v>74</v>
      </c>
      <c r="H39">
        <v>8</v>
      </c>
      <c r="I39">
        <v>180</v>
      </c>
      <c r="J39">
        <v>1440</v>
      </c>
      <c r="K39">
        <v>840</v>
      </c>
      <c r="L39">
        <v>600</v>
      </c>
      <c r="M39" t="s">
        <v>32</v>
      </c>
      <c r="N39" t="str">
        <f>TEXT(SalesData[Order_Date],"mmm-yyyy")</f>
        <v>Aug-2025</v>
      </c>
      <c r="O39" s="4">
        <f>IFERROR(SalesData[[#This Row],[Profit]]/SalesData[[#This Row],[Sales]],0)</f>
        <v>0.41666666666666669</v>
      </c>
      <c r="P39" s="1">
        <f>DATE(YEAR(SalesData[Order_Date]),MONTH(SalesData[Order_Date]),1)</f>
        <v>45870</v>
      </c>
    </row>
    <row r="40" spans="1:16" x14ac:dyDescent="0.25">
      <c r="A40" t="s">
        <v>124</v>
      </c>
      <c r="B40" s="1">
        <v>45890</v>
      </c>
      <c r="C40" t="s">
        <v>125</v>
      </c>
      <c r="D40" t="s">
        <v>15</v>
      </c>
      <c r="E40" t="s">
        <v>23</v>
      </c>
      <c r="F40" t="s">
        <v>24</v>
      </c>
      <c r="G40" t="s">
        <v>91</v>
      </c>
      <c r="H40">
        <v>1</v>
      </c>
      <c r="I40">
        <v>5600</v>
      </c>
      <c r="J40">
        <v>5600</v>
      </c>
      <c r="K40">
        <v>4100</v>
      </c>
      <c r="L40">
        <v>1500</v>
      </c>
      <c r="M40" t="s">
        <v>37</v>
      </c>
      <c r="N40" t="str">
        <f>TEXT(SalesData[Order_Date],"mmm-yyyy")</f>
        <v>Aug-2025</v>
      </c>
      <c r="O40" s="4">
        <f>IFERROR(SalesData[[#This Row],[Profit]]/SalesData[[#This Row],[Sales]],0)</f>
        <v>0.26785714285714285</v>
      </c>
      <c r="P40" s="1">
        <f>DATE(YEAR(SalesData[Order_Date]),MONTH(SalesData[Order_Date]),1)</f>
        <v>45870</v>
      </c>
    </row>
    <row r="41" spans="1:16" x14ac:dyDescent="0.25">
      <c r="A41" t="s">
        <v>126</v>
      </c>
      <c r="B41" s="1">
        <v>45898</v>
      </c>
      <c r="C41" t="s">
        <v>127</v>
      </c>
      <c r="D41" t="s">
        <v>22</v>
      </c>
      <c r="E41" t="s">
        <v>29</v>
      </c>
      <c r="F41" t="s">
        <v>30</v>
      </c>
      <c r="G41" t="s">
        <v>86</v>
      </c>
      <c r="H41">
        <v>20</v>
      </c>
      <c r="I41">
        <v>75</v>
      </c>
      <c r="J41">
        <v>1500</v>
      </c>
      <c r="K41">
        <v>800</v>
      </c>
      <c r="L41">
        <v>700</v>
      </c>
      <c r="M41" t="s">
        <v>19</v>
      </c>
      <c r="N41" t="str">
        <f>TEXT(SalesData[Order_Date],"mmm-yyyy")</f>
        <v>Aug-2025</v>
      </c>
      <c r="O41" s="4">
        <f>IFERROR(SalesData[[#This Row],[Profit]]/SalesData[[#This Row],[Sales]],0)</f>
        <v>0.46666666666666667</v>
      </c>
      <c r="P41" s="1">
        <f>DATE(YEAR(SalesData[Order_Date]),MONTH(SalesData[Order_Date]),1)</f>
        <v>45870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E0BC1-FB9D-4E79-924A-635AFF4B5BFC}">
  <dimension ref="A3:I30"/>
  <sheetViews>
    <sheetView topLeftCell="B1" workbookViewId="0">
      <selection activeCell="A24" sqref="A24"/>
    </sheetView>
  </sheetViews>
  <sheetFormatPr defaultRowHeight="15" x14ac:dyDescent="0.25"/>
  <cols>
    <col min="1" max="1" width="17" bestFit="1" customWidth="1"/>
    <col min="2" max="2" width="16.85546875" bestFit="1" customWidth="1"/>
    <col min="3" max="3" width="10.85546875" bestFit="1" customWidth="1"/>
    <col min="5" max="5" width="10.42578125" bestFit="1" customWidth="1"/>
    <col min="6" max="6" width="10.85546875" bestFit="1" customWidth="1"/>
    <col min="7" max="7" width="11.85546875" bestFit="1" customWidth="1"/>
    <col min="8" max="8" width="19.42578125" bestFit="1" customWidth="1"/>
    <col min="9" max="9" width="19.7109375" bestFit="1" customWidth="1"/>
    <col min="10" max="10" width="23" customWidth="1"/>
  </cols>
  <sheetData>
    <row r="3" spans="1:7" x14ac:dyDescent="0.25">
      <c r="A3" s="5" t="s">
        <v>4</v>
      </c>
      <c r="B3" t="s">
        <v>130</v>
      </c>
      <c r="C3" t="s">
        <v>131</v>
      </c>
      <c r="E3" s="5" t="s">
        <v>5</v>
      </c>
      <c r="F3" t="s">
        <v>130</v>
      </c>
      <c r="G3" t="s">
        <v>131</v>
      </c>
    </row>
    <row r="4" spans="1:7" x14ac:dyDescent="0.25">
      <c r="A4" s="8" t="s">
        <v>16</v>
      </c>
      <c r="B4" s="7">
        <v>101493</v>
      </c>
      <c r="C4" s="7">
        <v>26843</v>
      </c>
      <c r="E4" s="8" t="s">
        <v>24</v>
      </c>
      <c r="F4" s="7">
        <v>114100</v>
      </c>
      <c r="G4" s="7">
        <v>28700</v>
      </c>
    </row>
    <row r="5" spans="1:7" x14ac:dyDescent="0.25">
      <c r="A5" s="8" t="s">
        <v>23</v>
      </c>
      <c r="B5" s="7">
        <v>59546</v>
      </c>
      <c r="C5" s="7">
        <v>17966</v>
      </c>
      <c r="E5" s="8" t="s">
        <v>30</v>
      </c>
      <c r="F5" s="7">
        <v>20700</v>
      </c>
      <c r="G5" s="7">
        <v>8105</v>
      </c>
    </row>
    <row r="6" spans="1:7" x14ac:dyDescent="0.25">
      <c r="A6" s="8" t="s">
        <v>29</v>
      </c>
      <c r="B6" s="7">
        <v>47514</v>
      </c>
      <c r="C6" s="7">
        <v>13314</v>
      </c>
      <c r="E6" s="8" t="s">
        <v>17</v>
      </c>
      <c r="F6" s="7">
        <v>105933</v>
      </c>
      <c r="G6" s="7">
        <v>31203</v>
      </c>
    </row>
    <row r="7" spans="1:7" x14ac:dyDescent="0.25">
      <c r="A7" s="8" t="s">
        <v>40</v>
      </c>
      <c r="B7" s="7">
        <v>32180</v>
      </c>
      <c r="C7" s="7">
        <v>9885</v>
      </c>
      <c r="E7" s="8" t="s">
        <v>132</v>
      </c>
      <c r="F7" s="7">
        <v>240733</v>
      </c>
      <c r="G7" s="7">
        <v>68008</v>
      </c>
    </row>
    <row r="8" spans="1:7" x14ac:dyDescent="0.25">
      <c r="A8" s="8" t="s">
        <v>132</v>
      </c>
      <c r="B8" s="7">
        <v>240733</v>
      </c>
      <c r="C8" s="7">
        <v>68008</v>
      </c>
    </row>
    <row r="12" spans="1:7" x14ac:dyDescent="0.25">
      <c r="A12" s="5" t="s">
        <v>135</v>
      </c>
      <c r="B12" t="s">
        <v>130</v>
      </c>
      <c r="C12" t="s">
        <v>131</v>
      </c>
      <c r="E12" s="5" t="s">
        <v>128</v>
      </c>
      <c r="F12" t="s">
        <v>130</v>
      </c>
      <c r="G12" t="s">
        <v>131</v>
      </c>
    </row>
    <row r="13" spans="1:7" x14ac:dyDescent="0.25">
      <c r="A13" s="8" t="s">
        <v>15</v>
      </c>
      <c r="B13" s="7">
        <v>61559</v>
      </c>
      <c r="C13" s="7">
        <v>19089</v>
      </c>
      <c r="E13" s="8" t="s">
        <v>138</v>
      </c>
      <c r="F13" s="7">
        <v>23397</v>
      </c>
      <c r="G13" s="7">
        <v>6497</v>
      </c>
    </row>
    <row r="14" spans="1:7" x14ac:dyDescent="0.25">
      <c r="A14" s="8" t="s">
        <v>22</v>
      </c>
      <c r="B14" s="7">
        <v>152194</v>
      </c>
      <c r="C14" s="7">
        <v>40009</v>
      </c>
      <c r="E14" s="8" t="s">
        <v>139</v>
      </c>
      <c r="F14" s="7">
        <v>31500</v>
      </c>
      <c r="G14" s="7">
        <v>8500</v>
      </c>
    </row>
    <row r="15" spans="1:7" x14ac:dyDescent="0.25">
      <c r="A15" s="8" t="s">
        <v>35</v>
      </c>
      <c r="B15" s="7">
        <v>26980</v>
      </c>
      <c r="C15" s="7">
        <v>8910</v>
      </c>
      <c r="E15" s="8" t="s">
        <v>140</v>
      </c>
      <c r="F15" s="7">
        <v>35344</v>
      </c>
      <c r="G15" s="7">
        <v>9594</v>
      </c>
    </row>
    <row r="16" spans="1:7" x14ac:dyDescent="0.25">
      <c r="A16" s="8" t="s">
        <v>132</v>
      </c>
      <c r="B16" s="7">
        <v>240733</v>
      </c>
      <c r="C16" s="7">
        <v>68008</v>
      </c>
      <c r="E16" s="8" t="s">
        <v>141</v>
      </c>
      <c r="F16" s="7">
        <v>28220</v>
      </c>
      <c r="G16" s="7">
        <v>8320</v>
      </c>
    </row>
    <row r="17" spans="1:9" x14ac:dyDescent="0.25">
      <c r="E17" s="8" t="s">
        <v>142</v>
      </c>
      <c r="F17" s="7">
        <v>29036</v>
      </c>
      <c r="G17" s="7">
        <v>8206</v>
      </c>
    </row>
    <row r="18" spans="1:9" x14ac:dyDescent="0.25">
      <c r="E18" s="8" t="s">
        <v>143</v>
      </c>
      <c r="F18" s="7">
        <v>31300</v>
      </c>
      <c r="G18" s="7">
        <v>7875</v>
      </c>
    </row>
    <row r="19" spans="1:9" x14ac:dyDescent="0.25">
      <c r="E19" s="8" t="s">
        <v>144</v>
      </c>
      <c r="F19" s="7">
        <v>30596</v>
      </c>
      <c r="G19" s="7">
        <v>10116</v>
      </c>
    </row>
    <row r="20" spans="1:9" x14ac:dyDescent="0.25">
      <c r="E20" s="8" t="s">
        <v>145</v>
      </c>
      <c r="F20" s="7">
        <v>31340</v>
      </c>
      <c r="G20" s="7">
        <v>8900</v>
      </c>
      <c r="I20" s="4"/>
    </row>
    <row r="21" spans="1:9" x14ac:dyDescent="0.25">
      <c r="E21" s="8" t="s">
        <v>132</v>
      </c>
      <c r="F21" s="7">
        <v>240733</v>
      </c>
      <c r="G21" s="7">
        <v>68008</v>
      </c>
    </row>
    <row r="24" spans="1:9" x14ac:dyDescent="0.25">
      <c r="A24" s="5" t="s">
        <v>149</v>
      </c>
      <c r="B24" t="s">
        <v>147</v>
      </c>
    </row>
    <row r="25" spans="1:9" x14ac:dyDescent="0.25">
      <c r="A25" s="8" t="s">
        <v>71</v>
      </c>
      <c r="B25" s="6">
        <v>4</v>
      </c>
      <c r="E25" t="s">
        <v>130</v>
      </c>
      <c r="F25" t="s">
        <v>148</v>
      </c>
      <c r="G25" t="s">
        <v>151</v>
      </c>
      <c r="H25" t="s">
        <v>152</v>
      </c>
      <c r="I25" t="s">
        <v>153</v>
      </c>
    </row>
    <row r="26" spans="1:9" x14ac:dyDescent="0.25">
      <c r="A26" s="8" t="s">
        <v>32</v>
      </c>
      <c r="B26" s="6">
        <v>6</v>
      </c>
      <c r="E26" s="7">
        <v>240733</v>
      </c>
      <c r="F26" s="7">
        <v>68008</v>
      </c>
      <c r="G26" s="6">
        <v>40</v>
      </c>
      <c r="H26" s="7">
        <f>240733/40</f>
        <v>6018.3249999999998</v>
      </c>
      <c r="I26" s="4">
        <f>68008/240733</f>
        <v>0.28250385281619056</v>
      </c>
    </row>
    <row r="27" spans="1:9" x14ac:dyDescent="0.25">
      <c r="A27" s="8" t="s">
        <v>26</v>
      </c>
      <c r="B27" s="6">
        <v>9</v>
      </c>
    </row>
    <row r="28" spans="1:9" x14ac:dyDescent="0.25">
      <c r="A28" s="8" t="s">
        <v>37</v>
      </c>
      <c r="B28" s="6">
        <v>8</v>
      </c>
    </row>
    <row r="29" spans="1:9" x14ac:dyDescent="0.25">
      <c r="A29" s="8" t="s">
        <v>19</v>
      </c>
      <c r="B29" s="6">
        <v>13</v>
      </c>
    </row>
    <row r="30" spans="1:9" x14ac:dyDescent="0.25">
      <c r="A30" s="8" t="s">
        <v>132</v>
      </c>
      <c r="B30" s="6">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F5E2-82EC-4206-BAF9-70F7717A680F}">
  <dimension ref="A2:V9"/>
  <sheetViews>
    <sheetView showGridLines="0" tabSelected="1" zoomScale="70" zoomScaleNormal="70" workbookViewId="0">
      <selection activeCell="AP50" sqref="AP50"/>
    </sheetView>
  </sheetViews>
  <sheetFormatPr defaultRowHeight="15" x14ac:dyDescent="0.25"/>
  <sheetData>
    <row r="2" spans="1:22" ht="26.25" x14ac:dyDescent="0.4">
      <c r="A2" s="12" t="s">
        <v>155</v>
      </c>
      <c r="B2" s="12"/>
      <c r="C2" s="12"/>
      <c r="D2" s="12"/>
      <c r="E2" s="12"/>
      <c r="F2" s="12"/>
      <c r="G2" s="12"/>
      <c r="H2" s="12"/>
      <c r="I2" s="12"/>
      <c r="J2" s="12"/>
      <c r="K2" s="12"/>
      <c r="L2" s="12"/>
      <c r="M2" s="12"/>
      <c r="N2" s="12"/>
      <c r="O2" s="12"/>
      <c r="P2" s="12"/>
      <c r="Q2" s="12"/>
      <c r="R2" s="12"/>
      <c r="S2" s="12"/>
      <c r="T2" s="12"/>
      <c r="U2" s="12"/>
      <c r="V2" s="12"/>
    </row>
    <row r="4" spans="1:22" ht="21" x14ac:dyDescent="0.35">
      <c r="A4" s="21" t="s">
        <v>130</v>
      </c>
      <c r="B4" s="22"/>
      <c r="C4" s="22"/>
      <c r="D4" s="23"/>
      <c r="E4" s="21" t="s">
        <v>131</v>
      </c>
      <c r="F4" s="22"/>
      <c r="G4" s="22"/>
      <c r="H4" s="23"/>
      <c r="I4" s="21" t="s">
        <v>151</v>
      </c>
      <c r="J4" s="22"/>
      <c r="K4" s="22"/>
      <c r="L4" s="23"/>
      <c r="M4" s="21" t="s">
        <v>152</v>
      </c>
      <c r="N4" s="22"/>
      <c r="O4" s="22"/>
      <c r="P4" s="23"/>
      <c r="Q4" s="21" t="s">
        <v>156</v>
      </c>
      <c r="R4" s="22"/>
      <c r="S4" s="22"/>
      <c r="T4" s="23"/>
    </row>
    <row r="5" spans="1:22" x14ac:dyDescent="0.25">
      <c r="A5" s="13">
        <f>GETPIVOTDATA("Total Sales",Pivot_Analysis!$E$25)</f>
        <v>240733</v>
      </c>
      <c r="B5" s="14"/>
      <c r="C5" s="14"/>
      <c r="D5" s="15"/>
      <c r="E5" s="13">
        <f>GETPIVOTDATA("Total profit",Pivot_Analysis!$E$25)</f>
        <v>68008</v>
      </c>
      <c r="F5" s="14"/>
      <c r="G5" s="14"/>
      <c r="H5" s="15"/>
      <c r="I5" s="19">
        <f>GETPIVOTDATA("Total Orders",Pivot_Analysis!$E$25)</f>
        <v>40</v>
      </c>
      <c r="J5" s="14"/>
      <c r="K5" s="14"/>
      <c r="L5" s="15"/>
      <c r="M5" s="20">
        <f>A5/I5</f>
        <v>6018.3249999999998</v>
      </c>
      <c r="N5" s="14"/>
      <c r="O5" s="14"/>
      <c r="P5" s="15"/>
      <c r="Q5" s="25">
        <f>E5/A5</f>
        <v>0.28250385281619056</v>
      </c>
      <c r="R5" s="14"/>
      <c r="S5" s="14"/>
      <c r="T5" s="15"/>
    </row>
    <row r="6" spans="1:22" x14ac:dyDescent="0.25">
      <c r="A6" s="16"/>
      <c r="B6" s="17"/>
      <c r="C6" s="17"/>
      <c r="D6" s="18"/>
      <c r="E6" s="16"/>
      <c r="F6" s="17"/>
      <c r="G6" s="17"/>
      <c r="H6" s="18"/>
      <c r="I6" s="16"/>
      <c r="J6" s="17"/>
      <c r="K6" s="17"/>
      <c r="L6" s="18"/>
      <c r="M6" s="16"/>
      <c r="N6" s="17"/>
      <c r="O6" s="17"/>
      <c r="P6" s="18"/>
      <c r="Q6" s="16"/>
      <c r="R6" s="17"/>
      <c r="S6" s="17"/>
      <c r="T6" s="18"/>
    </row>
    <row r="9" spans="1:22" ht="21" x14ac:dyDescent="0.35">
      <c r="B9" s="24" t="s">
        <v>157</v>
      </c>
      <c r="C9" s="24"/>
      <c r="D9" s="24"/>
      <c r="E9" s="24"/>
      <c r="F9" s="24"/>
      <c r="G9" s="24"/>
      <c r="H9" s="24"/>
      <c r="I9" s="24"/>
    </row>
  </sheetData>
  <mergeCells count="12">
    <mergeCell ref="Q5:T6"/>
    <mergeCell ref="B9:I9"/>
    <mergeCell ref="A2:V2"/>
    <mergeCell ref="A4:D4"/>
    <mergeCell ref="A5:D6"/>
    <mergeCell ref="E4:H4"/>
    <mergeCell ref="E5:H6"/>
    <mergeCell ref="I4:L4"/>
    <mergeCell ref="I5:L6"/>
    <mergeCell ref="M4:P4"/>
    <mergeCell ref="M5:P6"/>
    <mergeCell ref="Q4: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6A23D-4029-4D15-B853-CA9AEED1D2DC}">
  <dimension ref="A1:A7"/>
  <sheetViews>
    <sheetView workbookViewId="0">
      <selection activeCell="A7" sqref="A7"/>
    </sheetView>
  </sheetViews>
  <sheetFormatPr defaultRowHeight="15" x14ac:dyDescent="0.25"/>
  <cols>
    <col min="1" max="1" width="57" customWidth="1"/>
  </cols>
  <sheetData>
    <row r="1" spans="1:1" ht="60" x14ac:dyDescent="0.25">
      <c r="A1" s="11" t="s">
        <v>154</v>
      </c>
    </row>
    <row r="2" spans="1:1" ht="90" x14ac:dyDescent="0.25">
      <c r="A2" s="10" t="s">
        <v>133</v>
      </c>
    </row>
    <row r="3" spans="1:1" ht="105.75" customHeight="1" x14ac:dyDescent="0.25">
      <c r="A3" s="9" t="s">
        <v>134</v>
      </c>
    </row>
    <row r="4" spans="1:1" ht="120" x14ac:dyDescent="0.25">
      <c r="A4" s="10" t="s">
        <v>136</v>
      </c>
    </row>
    <row r="5" spans="1:1" ht="120" x14ac:dyDescent="0.25">
      <c r="A5" s="10" t="s">
        <v>146</v>
      </c>
    </row>
    <row r="6" spans="1:1" ht="120" x14ac:dyDescent="0.25">
      <c r="A6" s="10" t="s">
        <v>150</v>
      </c>
    </row>
    <row r="7" spans="1:1" ht="75" x14ac:dyDescent="0.25">
      <c r="A7" s="10"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Pivot_Analysis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dc:creator>
  <cp:lastModifiedBy>sunil kumar s</cp:lastModifiedBy>
  <dcterms:created xsi:type="dcterms:W3CDTF">2026-05-25T08:54:03Z</dcterms:created>
  <dcterms:modified xsi:type="dcterms:W3CDTF">2026-05-25T11:43:40Z</dcterms:modified>
</cp:coreProperties>
</file>